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ott\Desktop\"/>
    </mc:Choice>
  </mc:AlternateContent>
  <xr:revisionPtr revIDLastSave="0" documentId="13_ncr:1_{D9FFC4C7-3DD6-4330-B99B-BB84E90E5102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8" i="1" l="1"/>
  <c r="C9" i="1"/>
  <c r="D9" i="1"/>
  <c r="C10" i="1"/>
  <c r="D10" i="1"/>
  <c r="B10" i="1"/>
  <c r="B9" i="1"/>
  <c r="B8" i="1" s="1"/>
  <c r="B7" i="1" s="1"/>
  <c r="B37" i="1" s="1"/>
  <c r="B106" i="1" l="1"/>
  <c r="B105" i="1"/>
  <c r="B202" i="1"/>
  <c r="B56" i="1"/>
  <c r="B108" i="1"/>
  <c r="B107" i="1"/>
  <c r="B204" i="1"/>
  <c r="B203" i="1"/>
  <c r="B104" i="1"/>
  <c r="B201" i="1"/>
  <c r="B84" i="1"/>
  <c r="B200" i="1"/>
  <c r="B83" i="1"/>
  <c r="B199" i="1"/>
  <c r="B82" i="1"/>
  <c r="B180" i="1"/>
  <c r="B81" i="1"/>
  <c r="B179" i="1"/>
  <c r="B80" i="1"/>
  <c r="B178" i="1"/>
  <c r="B60" i="1"/>
  <c r="B177" i="1"/>
  <c r="B59" i="1"/>
  <c r="B176" i="1"/>
  <c r="B58" i="1"/>
  <c r="B175" i="1"/>
  <c r="B57" i="1"/>
  <c r="B156" i="1"/>
  <c r="B155" i="1"/>
  <c r="B36" i="1"/>
  <c r="B154" i="1"/>
  <c r="B35" i="1"/>
  <c r="B153" i="1"/>
  <c r="B34" i="1"/>
  <c r="B152" i="1"/>
  <c r="B33" i="1"/>
  <c r="B151" i="1"/>
  <c r="B32" i="1"/>
  <c r="B132" i="1"/>
  <c r="B131" i="1"/>
  <c r="B130" i="1"/>
  <c r="B129" i="1"/>
  <c r="B128" i="1"/>
  <c r="B127" i="1"/>
  <c r="B75" i="1"/>
  <c r="B170" i="1"/>
  <c r="B97" i="1"/>
  <c r="B19" i="1"/>
  <c r="B23" i="1"/>
  <c r="B55" i="1"/>
  <c r="B150" i="1"/>
  <c r="B54" i="1"/>
  <c r="B125" i="1"/>
  <c r="B53" i="1"/>
  <c r="B124" i="1"/>
  <c r="B76" i="1"/>
  <c r="B147" i="1"/>
  <c r="B51" i="1"/>
  <c r="B194" i="1"/>
  <c r="B122" i="1"/>
  <c r="B74" i="1"/>
  <c r="B169" i="1"/>
  <c r="B49" i="1"/>
  <c r="B144" i="1"/>
  <c r="B48" i="1"/>
  <c r="B191" i="1"/>
  <c r="B119" i="1"/>
  <c r="B14" i="1"/>
  <c r="B22" i="1"/>
  <c r="B165" i="1"/>
  <c r="B93" i="1"/>
  <c r="B188" i="1"/>
  <c r="B44" i="1"/>
  <c r="B187" i="1"/>
  <c r="B139" i="1"/>
  <c r="B115" i="1"/>
  <c r="B186" i="1"/>
  <c r="B42" i="1"/>
  <c r="B161" i="1"/>
  <c r="B65" i="1"/>
  <c r="B208" i="1"/>
  <c r="B136" i="1"/>
  <c r="B112" i="1"/>
  <c r="B88" i="1"/>
  <c r="B64" i="1"/>
  <c r="B40" i="1"/>
  <c r="B103" i="1"/>
  <c r="B30" i="1"/>
  <c r="B173" i="1"/>
  <c r="B101" i="1"/>
  <c r="B196" i="1"/>
  <c r="B28" i="1"/>
  <c r="B123" i="1"/>
  <c r="B146" i="1"/>
  <c r="B26" i="1"/>
  <c r="B145" i="1"/>
  <c r="B192" i="1"/>
  <c r="B24" i="1"/>
  <c r="B167" i="1"/>
  <c r="B95" i="1"/>
  <c r="B166" i="1"/>
  <c r="B70" i="1"/>
  <c r="B117" i="1"/>
  <c r="B21" i="1"/>
  <c r="B140" i="1"/>
  <c r="B68" i="1"/>
  <c r="B211" i="1"/>
  <c r="B67" i="1"/>
  <c r="B162" i="1"/>
  <c r="B66" i="1"/>
  <c r="B17" i="1"/>
  <c r="B207" i="1"/>
  <c r="B183" i="1"/>
  <c r="B159" i="1"/>
  <c r="B135" i="1"/>
  <c r="B111" i="1"/>
  <c r="B87" i="1"/>
  <c r="B63" i="1"/>
  <c r="B39" i="1"/>
  <c r="B31" i="1"/>
  <c r="B198" i="1"/>
  <c r="B126" i="1"/>
  <c r="B78" i="1"/>
  <c r="B149" i="1"/>
  <c r="B29" i="1"/>
  <c r="B148" i="1"/>
  <c r="B100" i="1"/>
  <c r="B195" i="1"/>
  <c r="B27" i="1"/>
  <c r="B13" i="1"/>
  <c r="B25" i="1"/>
  <c r="B168" i="1"/>
  <c r="B96" i="1"/>
  <c r="B15" i="1"/>
  <c r="B71" i="1"/>
  <c r="B142" i="1"/>
  <c r="B46" i="1"/>
  <c r="B213" i="1"/>
  <c r="B141" i="1"/>
  <c r="B69" i="1"/>
  <c r="B164" i="1"/>
  <c r="B20" i="1"/>
  <c r="B163" i="1"/>
  <c r="B91" i="1"/>
  <c r="B114" i="1"/>
  <c r="B18" i="1"/>
  <c r="B185" i="1"/>
  <c r="B137" i="1"/>
  <c r="B113" i="1"/>
  <c r="B89" i="1"/>
  <c r="B160" i="1"/>
  <c r="B206" i="1"/>
  <c r="B182" i="1"/>
  <c r="B158" i="1"/>
  <c r="B134" i="1"/>
  <c r="B110" i="1"/>
  <c r="B86" i="1"/>
  <c r="B62" i="1"/>
  <c r="B38" i="1"/>
  <c r="B79" i="1"/>
  <c r="B174" i="1"/>
  <c r="B102" i="1"/>
  <c r="B197" i="1"/>
  <c r="B77" i="1"/>
  <c r="B172" i="1"/>
  <c r="B52" i="1"/>
  <c r="B171" i="1"/>
  <c r="B99" i="1"/>
  <c r="B98" i="1"/>
  <c r="B50" i="1"/>
  <c r="B193" i="1"/>
  <c r="B121" i="1"/>
  <c r="B73" i="1"/>
  <c r="B16" i="1"/>
  <c r="B120" i="1"/>
  <c r="B72" i="1"/>
  <c r="B143" i="1"/>
  <c r="B47" i="1"/>
  <c r="B190" i="1"/>
  <c r="B118" i="1"/>
  <c r="B94" i="1"/>
  <c r="B189" i="1"/>
  <c r="B45" i="1"/>
  <c r="B212" i="1"/>
  <c r="B116" i="1"/>
  <c r="B92" i="1"/>
  <c r="B43" i="1"/>
  <c r="B210" i="1"/>
  <c r="B138" i="1"/>
  <c r="B90" i="1"/>
  <c r="B209" i="1"/>
  <c r="B41" i="1"/>
  <c r="B184" i="1"/>
  <c r="B205" i="1"/>
  <c r="B181" i="1"/>
  <c r="B157" i="1"/>
  <c r="B133" i="1"/>
  <c r="B109" i="1"/>
  <c r="B85" i="1"/>
  <c r="B61" i="1"/>
  <c r="D8" i="1"/>
  <c r="D7" i="1" s="1"/>
  <c r="C8" i="1"/>
  <c r="C7" i="1" s="1"/>
  <c r="C21" i="1" l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201" i="1"/>
  <c r="C213" i="1"/>
  <c r="C59" i="1"/>
  <c r="C131" i="1"/>
  <c r="C179" i="1"/>
  <c r="C96" i="1"/>
  <c r="C180" i="1"/>
  <c r="C49" i="1"/>
  <c r="C73" i="1"/>
  <c r="C121" i="1"/>
  <c r="C193" i="1"/>
  <c r="C26" i="1"/>
  <c r="C110" i="1"/>
  <c r="C170" i="1"/>
  <c r="C15" i="1"/>
  <c r="C135" i="1"/>
  <c r="C28" i="1"/>
  <c r="C172" i="1"/>
  <c r="C53" i="1"/>
  <c r="C173" i="1"/>
  <c r="C54" i="1"/>
  <c r="C102" i="1"/>
  <c r="C150" i="1"/>
  <c r="C186" i="1"/>
  <c r="C210" i="1"/>
  <c r="C19" i="1"/>
  <c r="C103" i="1"/>
  <c r="C187" i="1"/>
  <c r="C32" i="1"/>
  <c r="C104" i="1"/>
  <c r="C200" i="1"/>
  <c r="C155" i="1"/>
  <c r="C145" i="1"/>
  <c r="C158" i="1"/>
  <c r="C147" i="1"/>
  <c r="C136" i="1"/>
  <c r="C161" i="1"/>
  <c r="C162" i="1"/>
  <c r="C199" i="1"/>
  <c r="C116" i="1"/>
  <c r="C22" i="1"/>
  <c r="C34" i="1"/>
  <c r="C46" i="1"/>
  <c r="C58" i="1"/>
  <c r="C70" i="1"/>
  <c r="C82" i="1"/>
  <c r="C94" i="1"/>
  <c r="C106" i="1"/>
  <c r="C118" i="1"/>
  <c r="C130" i="1"/>
  <c r="C142" i="1"/>
  <c r="C154" i="1"/>
  <c r="C166" i="1"/>
  <c r="C178" i="1"/>
  <c r="C190" i="1"/>
  <c r="C202" i="1"/>
  <c r="C47" i="1"/>
  <c r="C119" i="1"/>
  <c r="C191" i="1"/>
  <c r="C72" i="1"/>
  <c r="C37" i="1"/>
  <c r="C85" i="1"/>
  <c r="C181" i="1"/>
  <c r="C50" i="1"/>
  <c r="C74" i="1"/>
  <c r="C134" i="1"/>
  <c r="C182" i="1"/>
  <c r="C39" i="1"/>
  <c r="C75" i="1"/>
  <c r="C159" i="1"/>
  <c r="C52" i="1"/>
  <c r="C124" i="1"/>
  <c r="C77" i="1"/>
  <c r="C89" i="1"/>
  <c r="C113" i="1"/>
  <c r="C149" i="1"/>
  <c r="C185" i="1"/>
  <c r="C18" i="1"/>
  <c r="C90" i="1"/>
  <c r="C198" i="1"/>
  <c r="C31" i="1"/>
  <c r="C91" i="1"/>
  <c r="C211" i="1"/>
  <c r="C20" i="1"/>
  <c r="C92" i="1"/>
  <c r="C176" i="1"/>
  <c r="C35" i="1"/>
  <c r="C167" i="1"/>
  <c r="C108" i="1"/>
  <c r="C192" i="1"/>
  <c r="C13" i="1"/>
  <c r="C157" i="1"/>
  <c r="C14" i="1"/>
  <c r="C98" i="1"/>
  <c r="C194" i="1"/>
  <c r="C27" i="1"/>
  <c r="C99" i="1"/>
  <c r="C195" i="1"/>
  <c r="C40" i="1"/>
  <c r="C100" i="1"/>
  <c r="C184" i="1"/>
  <c r="C41" i="1"/>
  <c r="C137" i="1"/>
  <c r="C66" i="1"/>
  <c r="C126" i="1"/>
  <c r="C174" i="1"/>
  <c r="C43" i="1"/>
  <c r="C115" i="1"/>
  <c r="C151" i="1"/>
  <c r="C68" i="1"/>
  <c r="C140" i="1"/>
  <c r="C23" i="1"/>
  <c r="C71" i="1"/>
  <c r="C83" i="1"/>
  <c r="C95" i="1"/>
  <c r="C107" i="1"/>
  <c r="C143" i="1"/>
  <c r="C203" i="1"/>
  <c r="C156" i="1"/>
  <c r="C25" i="1"/>
  <c r="C109" i="1"/>
  <c r="C62" i="1"/>
  <c r="C122" i="1"/>
  <c r="C51" i="1"/>
  <c r="C111" i="1"/>
  <c r="C183" i="1"/>
  <c r="C64" i="1"/>
  <c r="C88" i="1"/>
  <c r="C148" i="1"/>
  <c r="C29" i="1"/>
  <c r="C101" i="1"/>
  <c r="C209" i="1"/>
  <c r="C30" i="1"/>
  <c r="C114" i="1"/>
  <c r="C55" i="1"/>
  <c r="C163" i="1"/>
  <c r="C44" i="1"/>
  <c r="C152" i="1"/>
  <c r="C24" i="1"/>
  <c r="C36" i="1"/>
  <c r="C48" i="1"/>
  <c r="C60" i="1"/>
  <c r="C84" i="1"/>
  <c r="C120" i="1"/>
  <c r="C132" i="1"/>
  <c r="C144" i="1"/>
  <c r="C168" i="1"/>
  <c r="C204" i="1"/>
  <c r="C61" i="1"/>
  <c r="C97" i="1"/>
  <c r="C133" i="1"/>
  <c r="C169" i="1"/>
  <c r="C205" i="1"/>
  <c r="C38" i="1"/>
  <c r="C86" i="1"/>
  <c r="C146" i="1"/>
  <c r="C206" i="1"/>
  <c r="C63" i="1"/>
  <c r="C87" i="1"/>
  <c r="C123" i="1"/>
  <c r="C171" i="1"/>
  <c r="C207" i="1"/>
  <c r="C16" i="1"/>
  <c r="C76" i="1"/>
  <c r="C112" i="1"/>
  <c r="C160" i="1"/>
  <c r="C196" i="1"/>
  <c r="C208" i="1"/>
  <c r="C65" i="1"/>
  <c r="C125" i="1"/>
  <c r="C197" i="1"/>
  <c r="C42" i="1"/>
  <c r="C138" i="1"/>
  <c r="C79" i="1"/>
  <c r="C139" i="1"/>
  <c r="C175" i="1"/>
  <c r="C56" i="1"/>
  <c r="C164" i="1"/>
  <c r="C17" i="1"/>
  <c r="C78" i="1"/>
  <c r="C67" i="1"/>
  <c r="C127" i="1"/>
  <c r="C80" i="1"/>
  <c r="C128" i="1"/>
  <c r="C188" i="1"/>
  <c r="C212" i="1"/>
  <c r="D117" i="1"/>
  <c r="D153" i="1"/>
  <c r="D177" i="1"/>
  <c r="D201" i="1"/>
  <c r="D36" i="1"/>
  <c r="D84" i="1"/>
  <c r="D156" i="1"/>
  <c r="D204" i="1"/>
  <c r="D37" i="1"/>
  <c r="D109" i="1"/>
  <c r="D181" i="1"/>
  <c r="D62" i="1"/>
  <c r="D86" i="1"/>
  <c r="D158" i="1"/>
  <c r="D63" i="1"/>
  <c r="D147" i="1"/>
  <c r="D52" i="1"/>
  <c r="D88" i="1"/>
  <c r="D136" i="1"/>
  <c r="D160" i="1"/>
  <c r="D208" i="1"/>
  <c r="D41" i="1"/>
  <c r="D125" i="1"/>
  <c r="D197" i="1"/>
  <c r="D30" i="1"/>
  <c r="D114" i="1"/>
  <c r="D174" i="1"/>
  <c r="D67" i="1"/>
  <c r="D139" i="1"/>
  <c r="D199" i="1"/>
  <c r="D32" i="1"/>
  <c r="D92" i="1"/>
  <c r="D200" i="1"/>
  <c r="D21" i="1"/>
  <c r="D33" i="1"/>
  <c r="D45" i="1"/>
  <c r="D57" i="1"/>
  <c r="D69" i="1"/>
  <c r="D81" i="1"/>
  <c r="D93" i="1"/>
  <c r="D105" i="1"/>
  <c r="D129" i="1"/>
  <c r="D141" i="1"/>
  <c r="D165" i="1"/>
  <c r="D189" i="1"/>
  <c r="D213" i="1"/>
  <c r="D72" i="1"/>
  <c r="D97" i="1"/>
  <c r="D98" i="1"/>
  <c r="D87" i="1"/>
  <c r="D76" i="1"/>
  <c r="D137" i="1"/>
  <c r="D90" i="1"/>
  <c r="D91" i="1"/>
  <c r="D116" i="1"/>
  <c r="D118" i="1"/>
  <c r="D24" i="1"/>
  <c r="D120" i="1"/>
  <c r="D25" i="1"/>
  <c r="D85" i="1"/>
  <c r="D157" i="1"/>
  <c r="D26" i="1"/>
  <c r="D134" i="1"/>
  <c r="D194" i="1"/>
  <c r="D27" i="1"/>
  <c r="D75" i="1"/>
  <c r="D99" i="1"/>
  <c r="D123" i="1"/>
  <c r="D135" i="1"/>
  <c r="D159" i="1"/>
  <c r="D207" i="1"/>
  <c r="D16" i="1"/>
  <c r="D100" i="1"/>
  <c r="D172" i="1"/>
  <c r="D17" i="1"/>
  <c r="D89" i="1"/>
  <c r="D161" i="1"/>
  <c r="D209" i="1"/>
  <c r="D42" i="1"/>
  <c r="D126" i="1"/>
  <c r="D210" i="1"/>
  <c r="D79" i="1"/>
  <c r="D115" i="1"/>
  <c r="D175" i="1"/>
  <c r="D187" i="1"/>
  <c r="D44" i="1"/>
  <c r="D128" i="1"/>
  <c r="D22" i="1"/>
  <c r="D34" i="1"/>
  <c r="D46" i="1"/>
  <c r="D58" i="1"/>
  <c r="D70" i="1"/>
  <c r="D82" i="1"/>
  <c r="D94" i="1"/>
  <c r="D106" i="1"/>
  <c r="D130" i="1"/>
  <c r="D142" i="1"/>
  <c r="D154" i="1"/>
  <c r="D166" i="1"/>
  <c r="D178" i="1"/>
  <c r="D190" i="1"/>
  <c r="D202" i="1"/>
  <c r="D60" i="1"/>
  <c r="D96" i="1"/>
  <c r="D132" i="1"/>
  <c r="D168" i="1"/>
  <c r="D192" i="1"/>
  <c r="D61" i="1"/>
  <c r="D133" i="1"/>
  <c r="D205" i="1"/>
  <c r="D38" i="1"/>
  <c r="D74" i="1"/>
  <c r="D122" i="1"/>
  <c r="D182" i="1"/>
  <c r="D39" i="1"/>
  <c r="D171" i="1"/>
  <c r="D64" i="1"/>
  <c r="D124" i="1"/>
  <c r="D196" i="1"/>
  <c r="D53" i="1"/>
  <c r="D113" i="1"/>
  <c r="D185" i="1"/>
  <c r="D18" i="1"/>
  <c r="D102" i="1"/>
  <c r="D150" i="1"/>
  <c r="D198" i="1"/>
  <c r="D31" i="1"/>
  <c r="D127" i="1"/>
  <c r="D152" i="1"/>
  <c r="D48" i="1"/>
  <c r="D108" i="1"/>
  <c r="D180" i="1"/>
  <c r="D49" i="1"/>
  <c r="D73" i="1"/>
  <c r="D121" i="1"/>
  <c r="D169" i="1"/>
  <c r="D193" i="1"/>
  <c r="D50" i="1"/>
  <c r="D110" i="1"/>
  <c r="D170" i="1"/>
  <c r="D206" i="1"/>
  <c r="D51" i="1"/>
  <c r="D183" i="1"/>
  <c r="D40" i="1"/>
  <c r="D112" i="1"/>
  <c r="D184" i="1"/>
  <c r="D65" i="1"/>
  <c r="D101" i="1"/>
  <c r="D149" i="1"/>
  <c r="D54" i="1"/>
  <c r="D162" i="1"/>
  <c r="D55" i="1"/>
  <c r="D103" i="1"/>
  <c r="D211" i="1"/>
  <c r="D80" i="1"/>
  <c r="D104" i="1"/>
  <c r="D164" i="1"/>
  <c r="D188" i="1"/>
  <c r="D212" i="1"/>
  <c r="D23" i="1"/>
  <c r="D35" i="1"/>
  <c r="D47" i="1"/>
  <c r="D59" i="1"/>
  <c r="D71" i="1"/>
  <c r="D83" i="1"/>
  <c r="D95" i="1"/>
  <c r="D107" i="1"/>
  <c r="D119" i="1"/>
  <c r="D131" i="1"/>
  <c r="D143" i="1"/>
  <c r="D155" i="1"/>
  <c r="D167" i="1"/>
  <c r="D179" i="1"/>
  <c r="D191" i="1"/>
  <c r="D203" i="1"/>
  <c r="D144" i="1"/>
  <c r="D13" i="1"/>
  <c r="D145" i="1"/>
  <c r="D14" i="1"/>
  <c r="D146" i="1"/>
  <c r="D15" i="1"/>
  <c r="D111" i="1"/>
  <c r="D195" i="1"/>
  <c r="D28" i="1"/>
  <c r="D148" i="1"/>
  <c r="D29" i="1"/>
  <c r="D77" i="1"/>
  <c r="D173" i="1"/>
  <c r="D66" i="1"/>
  <c r="D138" i="1"/>
  <c r="D19" i="1"/>
  <c r="D151" i="1"/>
  <c r="D56" i="1"/>
  <c r="D140" i="1"/>
  <c r="D78" i="1"/>
  <c r="D186" i="1"/>
  <c r="D43" i="1"/>
  <c r="D163" i="1"/>
  <c r="D20" i="1"/>
  <c r="D176" i="1"/>
</calcChain>
</file>

<file path=xl/sharedStrings.xml><?xml version="1.0" encoding="utf-8"?>
<sst xmlns="http://schemas.openxmlformats.org/spreadsheetml/2006/main" count="24" uniqueCount="24">
  <si>
    <t>A</t>
  </si>
  <si>
    <t>B</t>
  </si>
  <si>
    <t>C</t>
  </si>
  <si>
    <t>D</t>
  </si>
  <si>
    <t>x (DistFromTrapKM)</t>
  </si>
  <si>
    <t>amargosa</t>
  </si>
  <si>
    <t>santa clara</t>
  </si>
  <si>
    <t>l(x)- trap distance</t>
  </si>
  <si>
    <t>defaults</t>
  </si>
  <si>
    <t>p10, p90</t>
  </si>
  <si>
    <t>in between</t>
  </si>
  <si>
    <t>mpP90CaptureProb</t>
  </si>
  <si>
    <t>mpP10CaptureProb</t>
  </si>
  <si>
    <t>Most within 1km</t>
  </si>
  <si>
    <t>Many nearby, sharp decline to 7km</t>
  </si>
  <si>
    <t>Moderate decline from 1-4km</t>
  </si>
  <si>
    <t>Chris' McCreedy's isolated breeding area hypothesis</t>
  </si>
  <si>
    <t>Jane Griffith dense breeding area hypothesis</t>
  </si>
  <si>
    <t>Intermediate alternative</t>
  </si>
  <si>
    <t>Scenario Name</t>
  </si>
  <si>
    <t>Capture Curve Description</t>
  </si>
  <si>
    <t>1, 0.2</t>
  </si>
  <si>
    <t>5,2.5</t>
  </si>
  <si>
    <t>3, 0.9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</si>
</sst>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Three logistic</a:t>
            </a:r>
            <a:r>
              <a:rPr lang="en-US" baseline="0"/>
              <a:t> f</a:t>
            </a:r>
            <a:r>
              <a:rPr lang="en-US"/>
              <a:t>unctions for cowbird capture probabilty by distance</a:t>
            </a:r>
          </a:p>
        </c:rich>
      </c:tx>
      <c:layout>
        <c:manualLayout>
          <c:xMode val="edge"/>
          <c:yMode val="edge"/>
          <c:x val="0.193432792520459"/>
          <c:y val="4.3010752688172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32042077118998E-2"/>
          <c:y val="0.16214207650273224"/>
          <c:w val="0.87023714493065707"/>
          <c:h val="0.6970783652043494"/>
        </c:manualLayout>
      </c:layout>
      <c:scatterChart>
        <c:scatterStyle val="smoothMarker"/>
        <c:varyColors val="0"/>
        <c:ser>
          <c:idx val="0"/>
          <c:order val="0"/>
          <c:tx>
            <c:v>Cowbird captures decline rapidly with distance from trap: p10=1, p90=0.2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Sheet1!$A$13:$A$213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Sheet1!$B$13:$B$213</c:f>
              <c:numCache>
                <c:formatCode>General</c:formatCode>
                <c:ptCount val="201"/>
                <c:pt idx="0">
                  <c:v>0.9642857142857143</c:v>
                </c:pt>
                <c:pt idx="1">
                  <c:v>0.93971711872677721</c:v>
                </c:pt>
                <c:pt idx="2">
                  <c:v>0.89999999999999991</c:v>
                </c:pt>
                <c:pt idx="3">
                  <c:v>0.83860952220359097</c:v>
                </c:pt>
                <c:pt idx="4">
                  <c:v>0.74999999999999989</c:v>
                </c:pt>
                <c:pt idx="5">
                  <c:v>0.63397459621556129</c:v>
                </c:pt>
                <c:pt idx="6">
                  <c:v>0.5</c:v>
                </c:pt>
                <c:pt idx="7">
                  <c:v>0.36602540378443871</c:v>
                </c:pt>
                <c:pt idx="8">
                  <c:v>0.24999999999999992</c:v>
                </c:pt>
                <c:pt idx="9">
                  <c:v>0.16139047779640892</c:v>
                </c:pt>
                <c:pt idx="10">
                  <c:v>0.10000000000000003</c:v>
                </c:pt>
                <c:pt idx="11">
                  <c:v>6.0282881273222691E-2</c:v>
                </c:pt>
                <c:pt idx="12">
                  <c:v>3.5714285714285747E-2</c:v>
                </c:pt>
                <c:pt idx="13">
                  <c:v>2.0935668711966924E-2</c:v>
                </c:pt>
                <c:pt idx="14">
                  <c:v>1.2195121951219528E-2</c:v>
                </c:pt>
                <c:pt idx="15">
                  <c:v>7.077335403570733E-3</c:v>
                </c:pt>
                <c:pt idx="16">
                  <c:v>4.098360655737706E-3</c:v>
                </c:pt>
                <c:pt idx="17">
                  <c:v>2.3702953848195145E-3</c:v>
                </c:pt>
                <c:pt idx="18">
                  <c:v>1.3698630136986312E-3</c:v>
                </c:pt>
                <c:pt idx="19">
                  <c:v>7.9134894878055628E-4</c:v>
                </c:pt>
                <c:pt idx="20">
                  <c:v>4.5703839122486354E-4</c:v>
                </c:pt>
                <c:pt idx="21">
                  <c:v>2.639222193073907E-4</c:v>
                </c:pt>
                <c:pt idx="22">
                  <c:v>1.523925632429139E-4</c:v>
                </c:pt>
                <c:pt idx="23">
                  <c:v>8.79895547014989E-5</c:v>
                </c:pt>
                <c:pt idx="24">
                  <c:v>5.080268238162992E-5</c:v>
                </c:pt>
                <c:pt idx="25">
                  <c:v>2.9331572148480954E-5</c:v>
                </c:pt>
                <c:pt idx="26">
                  <c:v>1.6934801016088095E-5</c:v>
                </c:pt>
                <c:pt idx="27">
                  <c:v>9.7773819068155216E-6</c:v>
                </c:pt>
                <c:pt idx="28">
                  <c:v>5.6449974033012195E-6</c:v>
                </c:pt>
                <c:pt idx="29">
                  <c:v>3.2591485462318668E-6</c:v>
                </c:pt>
                <c:pt idx="30">
                  <c:v>1.8816728824594281E-6</c:v>
                </c:pt>
                <c:pt idx="31">
                  <c:v>1.0863852092044749E-6</c:v>
                </c:pt>
                <c:pt idx="32">
                  <c:v>6.272250809747593E-7</c:v>
                </c:pt>
                <c:pt idx="33">
                  <c:v>3.6212866534230846E-7</c:v>
                </c:pt>
                <c:pt idx="34">
                  <c:v>2.0907511441635733E-7</c:v>
                </c:pt>
                <c:pt idx="35">
                  <c:v>1.2070958425570355E-7</c:v>
                </c:pt>
                <c:pt idx="36">
                  <c:v>6.9691714519321149E-8</c:v>
                </c:pt>
                <c:pt idx="37">
                  <c:v>4.0236531323191103E-8</c:v>
                </c:pt>
                <c:pt idx="38">
                  <c:v>2.3230572585759392E-8</c:v>
                </c:pt>
                <c:pt idx="39">
                  <c:v>1.3412177467503353E-8</c:v>
                </c:pt>
                <c:pt idx="40">
                  <c:v>7.7435243151774576E-9</c:v>
                </c:pt>
                <c:pt idx="41">
                  <c:v>4.470725862475908E-9</c:v>
                </c:pt>
                <c:pt idx="42">
                  <c:v>2.5811747850507424E-9</c:v>
                </c:pt>
                <c:pt idx="43">
                  <c:v>1.490241958600276E-9</c:v>
                </c:pt>
                <c:pt idx="44">
                  <c:v>8.6039159649746051E-10</c:v>
                </c:pt>
                <c:pt idx="45">
                  <c:v>4.9674732002694057E-10</c:v>
                </c:pt>
                <c:pt idx="46">
                  <c:v>2.8679719899699374E-10</c:v>
                </c:pt>
                <c:pt idx="47">
                  <c:v>1.6558244006381566E-10</c:v>
                </c:pt>
                <c:pt idx="48">
                  <c:v>9.5599066350609513E-11</c:v>
                </c:pt>
                <c:pt idx="49">
                  <c:v>5.5194146694031283E-11</c:v>
                </c:pt>
                <c:pt idx="50">
                  <c:v>3.1866355452234063E-11</c:v>
                </c:pt>
                <c:pt idx="51">
                  <c:v>1.8398048898687449E-11</c:v>
                </c:pt>
                <c:pt idx="52">
                  <c:v>1.0622118484303666E-11</c:v>
                </c:pt>
                <c:pt idx="53">
                  <c:v>6.1326829663043609E-12</c:v>
                </c:pt>
                <c:pt idx="54">
                  <c:v>3.5407061614596245E-12</c:v>
                </c:pt>
                <c:pt idx="55">
                  <c:v>2.0442276554431497E-12</c:v>
                </c:pt>
                <c:pt idx="56">
                  <c:v>1.1802353871560011E-12</c:v>
                </c:pt>
                <c:pt idx="57">
                  <c:v>6.814092184819776E-13</c:v>
                </c:pt>
                <c:pt idx="58">
                  <c:v>3.9341179571897603E-13</c:v>
                </c:pt>
                <c:pt idx="59">
                  <c:v>2.2713640616076211E-13</c:v>
                </c:pt>
                <c:pt idx="60">
                  <c:v>1.3113726523969292E-13</c:v>
                </c:pt>
                <c:pt idx="61">
                  <c:v>7.5712135386932349E-14</c:v>
                </c:pt>
                <c:pt idx="62">
                  <c:v>4.3712421746568233E-14</c:v>
                </c:pt>
                <c:pt idx="63">
                  <c:v>2.5237378462312117E-14</c:v>
                </c:pt>
                <c:pt idx="64">
                  <c:v>1.4570807248856432E-14</c:v>
                </c:pt>
                <c:pt idx="65">
                  <c:v>8.4124594874374732E-15</c:v>
                </c:pt>
                <c:pt idx="66">
                  <c:v>4.8569357496188693E-15</c:v>
                </c:pt>
                <c:pt idx="67">
                  <c:v>2.8041531624791798E-15</c:v>
                </c:pt>
                <c:pt idx="68">
                  <c:v>1.6189785832062989E-15</c:v>
                </c:pt>
                <c:pt idx="69">
                  <c:v>9.3471772082639071E-16</c:v>
                </c:pt>
                <c:pt idx="70">
                  <c:v>5.3965952773543491E-16</c:v>
                </c:pt>
                <c:pt idx="71">
                  <c:v>3.1157257360880009E-16</c:v>
                </c:pt>
                <c:pt idx="72">
                  <c:v>1.7988650924514414E-16</c:v>
                </c:pt>
                <c:pt idx="73">
                  <c:v>1.0385752453626622E-16</c:v>
                </c:pt>
                <c:pt idx="74">
                  <c:v>5.9962169748381532E-17</c:v>
                </c:pt>
                <c:pt idx="75">
                  <c:v>3.4619174845422154E-17</c:v>
                </c:pt>
                <c:pt idx="76">
                  <c:v>1.9987389916127225E-17</c:v>
                </c:pt>
                <c:pt idx="77">
                  <c:v>1.1539724948473997E-17</c:v>
                </c:pt>
                <c:pt idx="78">
                  <c:v>6.6624633053757102E-18</c:v>
                </c:pt>
                <c:pt idx="79">
                  <c:v>3.8465749828246745E-18</c:v>
                </c:pt>
                <c:pt idx="80">
                  <c:v>2.2208211017919087E-18</c:v>
                </c:pt>
                <c:pt idx="81">
                  <c:v>1.2821916609415612E-18</c:v>
                </c:pt>
                <c:pt idx="82">
                  <c:v>7.4027370059730465E-19</c:v>
                </c:pt>
                <c:pt idx="83">
                  <c:v>4.2739722031385169E-19</c:v>
                </c:pt>
                <c:pt idx="84">
                  <c:v>2.4675790019910035E-19</c:v>
                </c:pt>
                <c:pt idx="85">
                  <c:v>1.4246574010461757E-19</c:v>
                </c:pt>
                <c:pt idx="86">
                  <c:v>8.225263339970032E-20</c:v>
                </c:pt>
                <c:pt idx="87">
                  <c:v>4.7488580034872639E-20</c:v>
                </c:pt>
                <c:pt idx="88">
                  <c:v>2.7417544466566639E-20</c:v>
                </c:pt>
                <c:pt idx="89">
                  <c:v>1.5829526678290802E-20</c:v>
                </c:pt>
                <c:pt idx="90">
                  <c:v>9.1391814888555679E-21</c:v>
                </c:pt>
                <c:pt idx="91">
                  <c:v>5.2765088927636507E-21</c:v>
                </c:pt>
                <c:pt idx="92">
                  <c:v>3.0463938296185517E-21</c:v>
                </c:pt>
                <c:pt idx="93">
                  <c:v>1.7588362975878754E-21</c:v>
                </c:pt>
                <c:pt idx="94">
                  <c:v>1.0154646098728457E-21</c:v>
                </c:pt>
                <c:pt idx="95">
                  <c:v>5.8627876586262652E-22</c:v>
                </c:pt>
                <c:pt idx="96">
                  <c:v>3.3848820329094938E-22</c:v>
                </c:pt>
                <c:pt idx="97">
                  <c:v>1.9542625528754262E-22</c:v>
                </c:pt>
                <c:pt idx="98">
                  <c:v>1.1282940109698259E-22</c:v>
                </c:pt>
                <c:pt idx="99">
                  <c:v>6.514208509584723E-23</c:v>
                </c:pt>
                <c:pt idx="100">
                  <c:v>3.7609800365660953E-23</c:v>
                </c:pt>
                <c:pt idx="101">
                  <c:v>2.1714028365282461E-23</c:v>
                </c:pt>
                <c:pt idx="102">
                  <c:v>1.2536600121887013E-23</c:v>
                </c:pt>
                <c:pt idx="103">
                  <c:v>7.2380094550941194E-24</c:v>
                </c:pt>
                <c:pt idx="104">
                  <c:v>4.1788667072956512E-24</c:v>
                </c:pt>
                <c:pt idx="105">
                  <c:v>2.412669818364712E-24</c:v>
                </c:pt>
                <c:pt idx="106">
                  <c:v>1.3929555690985537E-24</c:v>
                </c:pt>
                <c:pt idx="107">
                  <c:v>8.0422327278823928E-25</c:v>
                </c:pt>
                <c:pt idx="108">
                  <c:v>4.6431852303284905E-25</c:v>
                </c:pt>
                <c:pt idx="109">
                  <c:v>2.6807442426274513E-25</c:v>
                </c:pt>
                <c:pt idx="110">
                  <c:v>1.5477284101095114E-25</c:v>
                </c:pt>
                <c:pt idx="111">
                  <c:v>8.9358141420915892E-26</c:v>
                </c:pt>
                <c:pt idx="112">
                  <c:v>5.1590947003650501E-26</c:v>
                </c:pt>
                <c:pt idx="113">
                  <c:v>2.9786047140305158E-26</c:v>
                </c:pt>
                <c:pt idx="114">
                  <c:v>1.7196982334550084E-26</c:v>
                </c:pt>
                <c:pt idx="115">
                  <c:v>9.9286823801017426E-27</c:v>
                </c:pt>
                <c:pt idx="116">
                  <c:v>5.7323274448500416E-27</c:v>
                </c:pt>
                <c:pt idx="117">
                  <c:v>3.3095607933672315E-27</c:v>
                </c:pt>
                <c:pt idx="118">
                  <c:v>1.9107758149500049E-27</c:v>
                </c:pt>
                <c:pt idx="119">
                  <c:v>1.1031869311224131E-27</c:v>
                </c:pt>
                <c:pt idx="120">
                  <c:v>6.3692527165000312E-28</c:v>
                </c:pt>
                <c:pt idx="121">
                  <c:v>3.6772897704080523E-28</c:v>
                </c:pt>
                <c:pt idx="122">
                  <c:v>2.1230842388333485E-28</c:v>
                </c:pt>
                <c:pt idx="123">
                  <c:v>1.2257632568026784E-28</c:v>
                </c:pt>
                <c:pt idx="124">
                  <c:v>7.0769474627777956E-29</c:v>
                </c:pt>
                <c:pt idx="125">
                  <c:v>4.0858775226756041E-29</c:v>
                </c:pt>
                <c:pt idx="126">
                  <c:v>2.3589824875926039E-29</c:v>
                </c:pt>
                <c:pt idx="127">
                  <c:v>1.3619591742252045E-29</c:v>
                </c:pt>
                <c:pt idx="128">
                  <c:v>7.8632749586419197E-30</c:v>
                </c:pt>
                <c:pt idx="129">
                  <c:v>4.5398639140839614E-30</c:v>
                </c:pt>
                <c:pt idx="130">
                  <c:v>2.6210916528806462E-30</c:v>
                </c:pt>
                <c:pt idx="131">
                  <c:v>1.5132879713613239E-30</c:v>
                </c:pt>
                <c:pt idx="132">
                  <c:v>8.7369721762688411E-31</c:v>
                </c:pt>
                <c:pt idx="133">
                  <c:v>5.0442932378710917E-31</c:v>
                </c:pt>
                <c:pt idx="134">
                  <c:v>2.9123240587562874E-31</c:v>
                </c:pt>
                <c:pt idx="135">
                  <c:v>1.6814310792903678E-31</c:v>
                </c:pt>
                <c:pt idx="136">
                  <c:v>9.7077468625209806E-32</c:v>
                </c:pt>
                <c:pt idx="137">
                  <c:v>5.6047702643012396E-32</c:v>
                </c:pt>
                <c:pt idx="138">
                  <c:v>3.2359156208402882E-32</c:v>
                </c:pt>
                <c:pt idx="139">
                  <c:v>1.8682567547670577E-32</c:v>
                </c:pt>
                <c:pt idx="140">
                  <c:v>1.0786385402801139E-32</c:v>
                </c:pt>
                <c:pt idx="141">
                  <c:v>6.227522515890295E-33</c:v>
                </c:pt>
                <c:pt idx="142">
                  <c:v>3.5954618009337216E-33</c:v>
                </c:pt>
                <c:pt idx="143">
                  <c:v>2.0758408386300738E-33</c:v>
                </c:pt>
                <c:pt idx="144">
                  <c:v>1.1984872669778931E-33</c:v>
                </c:pt>
                <c:pt idx="145">
                  <c:v>6.9194694621002628E-34</c:v>
                </c:pt>
                <c:pt idx="146">
                  <c:v>3.9949575565929861E-34</c:v>
                </c:pt>
                <c:pt idx="147">
                  <c:v>2.3064898207000927E-34</c:v>
                </c:pt>
                <c:pt idx="148">
                  <c:v>1.3316525188643319E-34</c:v>
                </c:pt>
                <c:pt idx="149">
                  <c:v>7.6882994023336614E-35</c:v>
                </c:pt>
                <c:pt idx="150">
                  <c:v>4.4388417295477836E-35</c:v>
                </c:pt>
                <c:pt idx="151">
                  <c:v>2.5627664674445595E-35</c:v>
                </c:pt>
                <c:pt idx="152">
                  <c:v>1.4796139098492647E-35</c:v>
                </c:pt>
                <c:pt idx="153">
                  <c:v>8.5425548914817648E-36</c:v>
                </c:pt>
                <c:pt idx="154">
                  <c:v>4.9320463661641565E-36</c:v>
                </c:pt>
                <c:pt idx="155">
                  <c:v>2.8475182971605949E-36</c:v>
                </c:pt>
                <c:pt idx="156">
                  <c:v>1.6440154553880562E-36</c:v>
                </c:pt>
                <c:pt idx="157">
                  <c:v>9.4917276572020054E-37</c:v>
                </c:pt>
                <c:pt idx="158">
                  <c:v>5.4800515179601998E-37</c:v>
                </c:pt>
                <c:pt idx="159">
                  <c:v>3.1639092190673424E-37</c:v>
                </c:pt>
                <c:pt idx="160">
                  <c:v>1.8266838393200711E-37</c:v>
                </c:pt>
                <c:pt idx="161">
                  <c:v>1.0546364063557684E-37</c:v>
                </c:pt>
                <c:pt idx="162">
                  <c:v>6.0889461310669178E-38</c:v>
                </c:pt>
                <c:pt idx="163">
                  <c:v>3.5154546878526191E-38</c:v>
                </c:pt>
                <c:pt idx="164">
                  <c:v>2.029648710355644E-38</c:v>
                </c:pt>
                <c:pt idx="165">
                  <c:v>1.1718182292842092E-38</c:v>
                </c:pt>
                <c:pt idx="166">
                  <c:v>6.7654957011854003E-39</c:v>
                </c:pt>
                <c:pt idx="167">
                  <c:v>3.9060607642807068E-39</c:v>
                </c:pt>
                <c:pt idx="168">
                  <c:v>2.2551652337284718E-39</c:v>
                </c:pt>
                <c:pt idx="169">
                  <c:v>1.3020202547602386E-39</c:v>
                </c:pt>
                <c:pt idx="170">
                  <c:v>7.517217445761591E-40</c:v>
                </c:pt>
                <c:pt idx="171">
                  <c:v>4.3400675158674101E-40</c:v>
                </c:pt>
                <c:pt idx="172">
                  <c:v>2.5057391485872026E-40</c:v>
                </c:pt>
                <c:pt idx="173">
                  <c:v>1.4466891719558068E-40</c:v>
                </c:pt>
                <c:pt idx="174">
                  <c:v>8.3524638286240283E-41</c:v>
                </c:pt>
                <c:pt idx="175">
                  <c:v>4.8222972398527013E-41</c:v>
                </c:pt>
                <c:pt idx="176">
                  <c:v>2.7841546095413098E-41</c:v>
                </c:pt>
                <c:pt idx="177">
                  <c:v>1.6074324132842373E-41</c:v>
                </c:pt>
                <c:pt idx="178">
                  <c:v>9.280515365137721E-42</c:v>
                </c:pt>
                <c:pt idx="179">
                  <c:v>5.3581080442808039E-42</c:v>
                </c:pt>
                <c:pt idx="180">
                  <c:v>3.0935051217125811E-42</c:v>
                </c:pt>
                <c:pt idx="181">
                  <c:v>1.7860360147602467E-42</c:v>
                </c:pt>
                <c:pt idx="182">
                  <c:v>1.0311683739042108E-42</c:v>
                </c:pt>
                <c:pt idx="183">
                  <c:v>5.9534533825341703E-43</c:v>
                </c:pt>
                <c:pt idx="184">
                  <c:v>3.4372279130140441E-43</c:v>
                </c:pt>
                <c:pt idx="185">
                  <c:v>1.9844844608447282E-43</c:v>
                </c:pt>
                <c:pt idx="186">
                  <c:v>1.1457426376713344E-43</c:v>
                </c:pt>
                <c:pt idx="187">
                  <c:v>6.614948202815776E-44</c:v>
                </c:pt>
                <c:pt idx="188">
                  <c:v>3.8191421255711238E-44</c:v>
                </c:pt>
                <c:pt idx="189">
                  <c:v>2.2049827342719305E-44</c:v>
                </c:pt>
                <c:pt idx="190">
                  <c:v>1.2730473751903776E-44</c:v>
                </c:pt>
                <c:pt idx="191">
                  <c:v>7.3499424475730144E-45</c:v>
                </c:pt>
                <c:pt idx="192">
                  <c:v>4.243491250634602E-45</c:v>
                </c:pt>
                <c:pt idx="193">
                  <c:v>2.4499808158576771E-45</c:v>
                </c:pt>
                <c:pt idx="194">
                  <c:v>1.4144970835448706E-45</c:v>
                </c:pt>
                <c:pt idx="195">
                  <c:v>8.16660271952561E-46</c:v>
                </c:pt>
                <c:pt idx="196">
                  <c:v>4.7149902784828459E-46</c:v>
                </c:pt>
                <c:pt idx="197">
                  <c:v>2.7222009065085431E-46</c:v>
                </c:pt>
                <c:pt idx="198">
                  <c:v>1.5716634261609525E-46</c:v>
                </c:pt>
                <c:pt idx="199">
                  <c:v>9.0740030216952936E-47</c:v>
                </c:pt>
                <c:pt idx="200">
                  <c:v>5.2388780872031867E-47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3-407E-B17A-876A798D7CBE}"/>
            </c:ext>
          </c:extLst>
        </c:ser>
        <c:ser>
          <c:idx val="1"/>
          <c:order val="1"/>
          <c:tx>
            <c:v>Cowbird captures decline gradually with distance from trap: p10=3, p90=0.9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Sheet1!$A$13:$A$213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Sheet1!$C$13:$C$213</c:f>
              <c:numCache>
                <c:formatCode>General</c:formatCode>
                <c:ptCount val="201"/>
                <c:pt idx="0">
                  <c:v>0.98338279621486846</c:v>
                </c:pt>
                <c:pt idx="1">
                  <c:v>0.97959382450911958</c:v>
                </c:pt>
                <c:pt idx="2">
                  <c:v>0.97496290654349638</c:v>
                </c:pt>
                <c:pt idx="3">
                  <c:v>0.96931398210540121</c:v>
                </c:pt>
                <c:pt idx="4">
                  <c:v>0.96243963571869195</c:v>
                </c:pt>
                <c:pt idx="5">
                  <c:v>0.95409821061507938</c:v>
                </c:pt>
                <c:pt idx="6">
                  <c:v>0.94401208097829714</c:v>
                </c:pt>
                <c:pt idx="7">
                  <c:v>0.93186796004523742</c:v>
                </c:pt>
                <c:pt idx="8">
                  <c:v>0.91732041109714546</c:v>
                </c:pt>
                <c:pt idx="9">
                  <c:v>0.9</c:v>
                </c:pt>
                <c:pt idx="10">
                  <c:v>0.87952768791197811</c:v>
                </c:pt>
                <c:pt idx="11">
                  <c:v>0.85553696139771984</c:v>
                </c:pt>
                <c:pt idx="12">
                  <c:v>0.8277046349081012</c:v>
                </c:pt>
                <c:pt idx="13">
                  <c:v>0.79579003043752883</c:v>
                </c:pt>
                <c:pt idx="14">
                  <c:v>0.75968022567954652</c:v>
                </c:pt>
                <c:pt idx="15">
                  <c:v>0.71943639707904417</c:v>
                </c:pt>
                <c:pt idx="16">
                  <c:v>0.67533351121296792</c:v>
                </c:pt>
                <c:pt idx="17">
                  <c:v>0.62788374450389961</c:v>
                </c:pt>
                <c:pt idx="18">
                  <c:v>0.57783429193970837</c:v>
                </c:pt>
                <c:pt idx="19">
                  <c:v>0.52613359858421549</c:v>
                </c:pt>
                <c:pt idx="20">
                  <c:v>0.47386640141578484</c:v>
                </c:pt>
                <c:pt idx="21">
                  <c:v>0.42216570806029197</c:v>
                </c:pt>
                <c:pt idx="22">
                  <c:v>0.37211625549610045</c:v>
                </c:pt>
                <c:pt idx="23">
                  <c:v>0.32466648878703225</c:v>
                </c:pt>
                <c:pt idx="24">
                  <c:v>0.280563602920956</c:v>
                </c:pt>
                <c:pt idx="25">
                  <c:v>0.24031977432045376</c:v>
                </c:pt>
                <c:pt idx="26">
                  <c:v>0.20420996956247117</c:v>
                </c:pt>
                <c:pt idx="27">
                  <c:v>0.17229536509189891</c:v>
                </c:pt>
                <c:pt idx="28">
                  <c:v>0.1444630386022803</c:v>
                </c:pt>
                <c:pt idx="29">
                  <c:v>0.12047231208802202</c:v>
                </c:pt>
                <c:pt idx="30">
                  <c:v>0.10000000000000003</c:v>
                </c:pt>
                <c:pt idx="31">
                  <c:v>8.2679588902854553E-2</c:v>
                </c:pt>
                <c:pt idx="32">
                  <c:v>6.8132039954762635E-2</c:v>
                </c:pt>
                <c:pt idx="33">
                  <c:v>5.5987919021702998E-2</c:v>
                </c:pt>
                <c:pt idx="34">
                  <c:v>4.5901789384920684E-2</c:v>
                </c:pt>
                <c:pt idx="35">
                  <c:v>3.7560364281308073E-2</c:v>
                </c:pt>
                <c:pt idx="36">
                  <c:v>3.0686017894598832E-2</c:v>
                </c:pt>
                <c:pt idx="37">
                  <c:v>2.5037093456503623E-2</c:v>
                </c:pt>
                <c:pt idx="38">
                  <c:v>2.0406175490880495E-2</c:v>
                </c:pt>
                <c:pt idx="39">
                  <c:v>1.6617203785131551E-2</c:v>
                </c:pt>
                <c:pt idx="40">
                  <c:v>1.3522048322331452E-2</c:v>
                </c:pt>
                <c:pt idx="41">
                  <c:v>1.0996956063020655E-2</c:v>
                </c:pt>
                <c:pt idx="42">
                  <c:v>8.9391238537310132E-3</c:v>
                </c:pt>
                <c:pt idx="43">
                  <c:v>7.2635403906211151E-3</c:v>
                </c:pt>
                <c:pt idx="44">
                  <c:v>5.9001648562908597E-3</c:v>
                </c:pt>
                <c:pt idx="45">
                  <c:v>4.7914614582736928E-3</c:v>
                </c:pt>
                <c:pt idx="46">
                  <c:v>3.8902798583867497E-3</c:v>
                </c:pt>
                <c:pt idx="47">
                  <c:v>3.1580553061493909E-3</c:v>
                </c:pt>
                <c:pt idx="48">
                  <c:v>2.5632946715228532E-3</c:v>
                </c:pt>
                <c:pt idx="49">
                  <c:v>2.0803123171400555E-3</c:v>
                </c:pt>
                <c:pt idx="50">
                  <c:v>1.6881806714152947E-3</c:v>
                </c:pt>
                <c:pt idx="51">
                  <c:v>1.3698630136986338E-3</c:v>
                </c:pt>
                <c:pt idx="52">
                  <c:v>1.111499434677074E-3</c:v>
                </c:pt>
                <c:pt idx="53">
                  <c:v>9.0182062021008978E-4</c:v>
                </c:pt>
                <c:pt idx="54">
                  <c:v>7.3166769316232623E-4</c:v>
                </c:pt>
                <c:pt idx="55">
                  <c:v>5.9359965806930011E-4</c:v>
                </c:pt>
                <c:pt idx="56">
                  <c:v>4.8157294699609682E-4</c:v>
                </c:pt>
                <c:pt idx="57">
                  <c:v>3.9068013969402552E-4</c:v>
                </c:pt>
                <c:pt idx="58">
                  <c:v>3.1693713873444661E-4</c:v>
                </c:pt>
                <c:pt idx="59">
                  <c:v>2.5710995002132598E-4</c:v>
                </c:pt>
                <c:pt idx="60">
                  <c:v>2.0857378810400535E-4</c:v>
                </c:pt>
                <c:pt idx="61">
                  <c:v>1.6919853310604535E-4</c:v>
                </c:pt>
                <c:pt idx="62">
                  <c:v>1.372556495159368E-4</c:v>
                </c:pt>
                <c:pt idx="63">
                  <c:v>1.113425710662635E-4</c:v>
                </c:pt>
                <c:pt idx="64">
                  <c:v>9.0321291090103618E-5</c:v>
                </c:pt>
                <c:pt idx="65">
                  <c:v>7.3268500677934879E-5</c:v>
                </c:pt>
                <c:pt idx="66">
                  <c:v>5.9435110389254022E-5</c:v>
                </c:pt>
                <c:pt idx="67">
                  <c:v>4.8213394396998967E-5</c:v>
                </c:pt>
                <c:pt idx="68">
                  <c:v>3.9110324835297566E-5</c:v>
                </c:pt>
                <c:pt idx="69">
                  <c:v>3.1725932154940684E-5</c:v>
                </c:pt>
                <c:pt idx="70">
                  <c:v>2.5735745533505997E-5</c:v>
                </c:pt>
                <c:pt idx="71">
                  <c:v>2.087654496037453E-5</c:v>
                </c:pt>
                <c:pt idx="72">
                  <c:v>1.6934801016088095E-5</c:v>
                </c:pt>
                <c:pt idx="73">
                  <c:v>1.3737295733239464E-5</c:v>
                </c:pt>
                <c:pt idx="74">
                  <c:v>1.1143513286606979E-5</c:v>
                </c:pt>
                <c:pt idx="75">
                  <c:v>9.0394667163346631E-6</c:v>
                </c:pt>
                <c:pt idx="76">
                  <c:v>7.3326897856945956E-6</c:v>
                </c:pt>
                <c:pt idx="77">
                  <c:v>5.9481741404457086E-6</c:v>
                </c:pt>
                <c:pt idx="78">
                  <c:v>4.8250733891565873E-6</c:v>
                </c:pt>
                <c:pt idx="79">
                  <c:v>3.9140293683451896E-6</c:v>
                </c:pt>
                <c:pt idx="80">
                  <c:v>3.1750031606622588E-6</c:v>
                </c:pt>
                <c:pt idx="81">
                  <c:v>2.5755155914501748E-6</c:v>
                </c:pt>
                <c:pt idx="82">
                  <c:v>2.0892199079203239E-6</c:v>
                </c:pt>
                <c:pt idx="83">
                  <c:v>1.6947439329664163E-6</c:v>
                </c:pt>
                <c:pt idx="84">
                  <c:v>1.3747508213524165E-6</c:v>
                </c:pt>
                <c:pt idx="85">
                  <c:v>1.1151771485097733E-6</c:v>
                </c:pt>
                <c:pt idx="86">
                  <c:v>9.0461485259074425E-7</c:v>
                </c:pt>
                <c:pt idx="87">
                  <c:v>7.3380987055440803E-7</c:v>
                </c:pt>
                <c:pt idx="88">
                  <c:v>5.9525543629392918E-7</c:v>
                </c:pt>
                <c:pt idx="89">
                  <c:v>4.8286216823453755E-7</c:v>
                </c:pt>
                <c:pt idx="90">
                  <c:v>3.9169044808033681E-7</c:v>
                </c:pt>
                <c:pt idx="91">
                  <c:v>3.1773332965229142E-7</c:v>
                </c:pt>
                <c:pt idx="92">
                  <c:v>2.5774043726865087E-7</c:v>
                </c:pt>
                <c:pt idx="93">
                  <c:v>2.0907511441635658E-7</c:v>
                </c:pt>
                <c:pt idx="94">
                  <c:v>1.6959854468232821E-7</c:v>
                </c:pt>
                <c:pt idx="95">
                  <c:v>1.3757575225660319E-7</c:v>
                </c:pt>
                <c:pt idx="96">
                  <c:v>1.1159935086696423E-7</c:v>
                </c:pt>
                <c:pt idx="97">
                  <c:v>9.0527690007556039E-8</c:v>
                </c:pt>
                <c:pt idx="98">
                  <c:v>7.3434680057122154E-8</c:v>
                </c:pt>
                <c:pt idx="99">
                  <c:v>5.9569091150314852E-8</c:v>
                </c:pt>
                <c:pt idx="100">
                  <c:v>4.8321537023437046E-8</c:v>
                </c:pt>
                <c:pt idx="101">
                  <c:v>3.9197692801063568E-8</c:v>
                </c:pt>
                <c:pt idx="102">
                  <c:v>3.1796569664877223E-8</c:v>
                </c:pt>
                <c:pt idx="103">
                  <c:v>2.5792891591137392E-8</c:v>
                </c:pt>
                <c:pt idx="104">
                  <c:v>2.0922799625548546E-8</c:v>
                </c:pt>
                <c:pt idx="105">
                  <c:v>1.6972255406940492E-8</c:v>
                </c:pt>
                <c:pt idx="106">
                  <c:v>1.3767634281208187E-8</c:v>
                </c:pt>
                <c:pt idx="107">
                  <c:v>1.1168094577983723E-8</c:v>
                </c:pt>
                <c:pt idx="108">
                  <c:v>9.0593876837512708E-9</c:v>
                </c:pt>
                <c:pt idx="109">
                  <c:v>7.3488368672683749E-9</c:v>
                </c:pt>
                <c:pt idx="110">
                  <c:v>5.9612641791611666E-9</c:v>
                </c:pt>
                <c:pt idx="111">
                  <c:v>4.8356864149100252E-9</c:v>
                </c:pt>
                <c:pt idx="112">
                  <c:v>3.9226349303758125E-9</c:v>
                </c:pt>
                <c:pt idx="113">
                  <c:v>3.1819815170206807E-9</c:v>
                </c:pt>
                <c:pt idx="114">
                  <c:v>2.5811747850507424E-9</c:v>
                </c:pt>
                <c:pt idx="115">
                  <c:v>2.0938095443320088E-9</c:v>
                </c:pt>
                <c:pt idx="116">
                  <c:v>1.6984663080250115E-9</c:v>
                </c:pt>
                <c:pt idx="117">
                  <c:v>1.3777699156496637E-9</c:v>
                </c:pt>
                <c:pt idx="118">
                  <c:v>1.1176259024894223E-9</c:v>
                </c:pt>
                <c:pt idx="119">
                  <c:v>9.0660105411356792E-10</c:v>
                </c:pt>
                <c:pt idx="120">
                  <c:v>7.3542092166645998E-10</c:v>
                </c:pt>
                <c:pt idx="121">
                  <c:v>5.9656221394544749E-10</c:v>
                </c:pt>
                <c:pt idx="122">
                  <c:v>4.8392215208091436E-10</c:v>
                </c:pt>
                <c:pt idx="123">
                  <c:v>3.9255025510391596E-10</c:v>
                </c:pt>
                <c:pt idx="124">
                  <c:v>3.1843076849626399E-10</c:v>
                </c:pt>
                <c:pt idx="125">
                  <c:v>2.5830617355441552E-10</c:v>
                </c:pt>
                <c:pt idx="126">
                  <c:v>2.0953402088199657E-10</c:v>
                </c:pt>
                <c:pt idx="127">
                  <c:v>1.6997079590636887E-10</c:v>
                </c:pt>
                <c:pt idx="128">
                  <c:v>1.378777123601261E-10</c:v>
                </c:pt>
                <c:pt idx="129">
                  <c:v>1.1184429339272291E-10</c:v>
                </c:pt>
                <c:pt idx="130">
                  <c:v>9.0726381735889643E-11</c:v>
                </c:pt>
                <c:pt idx="131">
                  <c:v>7.3595854497026264E-11</c:v>
                </c:pt>
                <c:pt idx="132">
                  <c:v>5.9699832567965555E-11</c:v>
                </c:pt>
                <c:pt idx="133">
                  <c:v>4.8427591920653198E-11</c:v>
                </c:pt>
                <c:pt idx="134">
                  <c:v>3.9283722555811045E-11</c:v>
                </c:pt>
                <c:pt idx="135">
                  <c:v>3.1866355452234063E-11</c:v>
                </c:pt>
                <c:pt idx="136">
                  <c:v>2.5849500600764544E-11</c:v>
                </c:pt>
                <c:pt idx="137">
                  <c:v>2.0968719887335584E-11</c:v>
                </c:pt>
                <c:pt idx="138">
                  <c:v>1.7009505154623108E-11</c:v>
                </c:pt>
                <c:pt idx="139">
                  <c:v>1.3797850663248E-11</c:v>
                </c:pt>
                <c:pt idx="140">
                  <c:v>1.1192605616362284E-11</c:v>
                </c:pt>
                <c:pt idx="141">
                  <c:v>9.0792706444522046E-12</c:v>
                </c:pt>
                <c:pt idx="142">
                  <c:v>7.3649656086042162E-12</c:v>
                </c:pt>
                <c:pt idx="143">
                  <c:v>5.9743475594099183E-12</c:v>
                </c:pt>
                <c:pt idx="144">
                  <c:v>4.8462994476062986E-12</c:v>
                </c:pt>
                <c:pt idx="145">
                  <c:v>3.9312440567458159E-12</c:v>
                </c:pt>
                <c:pt idx="146">
                  <c:v>3.1889651064236357E-12</c:v>
                </c:pt>
                <c:pt idx="147">
                  <c:v>2.5868397645106113E-12</c:v>
                </c:pt>
                <c:pt idx="148">
                  <c:v>2.0984048880852105E-12</c:v>
                </c:pt>
                <c:pt idx="149">
                  <c:v>1.7021939799864442E-12</c:v>
                </c:pt>
                <c:pt idx="150">
                  <c:v>1.3807937457417018E-12</c:v>
                </c:pt>
                <c:pt idx="151">
                  <c:v>1.1200787869632039E-12</c:v>
                </c:pt>
                <c:pt idx="152">
                  <c:v>9.085907963256283E-13</c:v>
                </c:pt>
                <c:pt idx="153">
                  <c:v>7.3703497001833746E-13</c:v>
                </c:pt>
                <c:pt idx="154">
                  <c:v>5.9787150522184652E-13</c:v>
                </c:pt>
                <c:pt idx="155">
                  <c:v>4.8498422910290312E-13</c:v>
                </c:pt>
                <c:pt idx="156">
                  <c:v>3.9341179571897603E-13</c:v>
                </c:pt>
                <c:pt idx="157">
                  <c:v>3.1912963705462298E-13</c:v>
                </c:pt>
                <c:pt idx="158">
                  <c:v>2.5887308503419524E-13</c:v>
                </c:pt>
                <c:pt idx="159">
                  <c:v>2.0999389080134517E-13</c:v>
                </c:pt>
                <c:pt idx="160">
                  <c:v>1.703438353510625E-13</c:v>
                </c:pt>
                <c:pt idx="161">
                  <c:v>1.3818031625291357E-13</c:v>
                </c:pt>
                <c:pt idx="162">
                  <c:v>1.1208976104362517E-13</c:v>
                </c:pt>
                <c:pt idx="163">
                  <c:v>9.0925501341454094E-14</c:v>
                </c:pt>
                <c:pt idx="164">
                  <c:v>7.3757377277101294E-14</c:v>
                </c:pt>
                <c:pt idx="165">
                  <c:v>5.9830857378142052E-14</c:v>
                </c:pt>
                <c:pt idx="166">
                  <c:v>4.853387724396388E-14</c:v>
                </c:pt>
                <c:pt idx="167">
                  <c:v>3.9369939585601078E-14</c:v>
                </c:pt>
                <c:pt idx="168">
                  <c:v>3.1936293389101444E-14</c:v>
                </c:pt>
                <c:pt idx="169">
                  <c:v>2.5906233186291008E-14</c:v>
                </c:pt>
                <c:pt idx="170">
                  <c:v>2.1014740493695186E-14</c:v>
                </c:pt>
                <c:pt idx="171">
                  <c:v>1.7046836367204735E-14</c:v>
                </c:pt>
                <c:pt idx="172">
                  <c:v>1.3828133172400562E-14</c:v>
                </c:pt>
                <c:pt idx="173">
                  <c:v>1.1217170325017767E-14</c:v>
                </c:pt>
                <c:pt idx="174">
                  <c:v>9.0991971607268909E-15</c:v>
                </c:pt>
                <c:pt idx="175">
                  <c:v>7.3811296941012225E-15</c:v>
                </c:pt>
                <c:pt idx="176">
                  <c:v>5.9874596185571771E-15</c:v>
                </c:pt>
                <c:pt idx="177">
                  <c:v>4.8569357496188354E-15</c:v>
                </c:pt>
                <c:pt idx="178">
                  <c:v>3.9398720624039616E-15</c:v>
                </c:pt>
                <c:pt idx="179">
                  <c:v>3.1959640127686565E-15</c:v>
                </c:pt>
                <c:pt idx="180">
                  <c:v>2.5925171703874931E-15</c:v>
                </c:pt>
                <c:pt idx="181">
                  <c:v>2.1030103129764165E-15</c:v>
                </c:pt>
                <c:pt idx="182">
                  <c:v>1.705929830283114E-15</c:v>
                </c:pt>
                <c:pt idx="183">
                  <c:v>1.3838242104152673E-15</c:v>
                </c:pt>
                <c:pt idx="184">
                  <c:v>1.1225370535982981E-15</c:v>
                </c:pt>
                <c:pt idx="185">
                  <c:v>9.1058490465563046E-16</c:v>
                </c:pt>
                <c:pt idx="186">
                  <c:v>7.3865256022401344E-16</c:v>
                </c:pt>
                <c:pt idx="187">
                  <c:v>5.9918366967859434E-16</c:v>
                </c:pt>
                <c:pt idx="188">
                  <c:v>4.860486368592874E-16</c:v>
                </c:pt>
                <c:pt idx="189">
                  <c:v>3.9427522702595572E-16</c:v>
                </c:pt>
                <c:pt idx="190">
                  <c:v>3.198300393369316E-16</c:v>
                </c:pt>
                <c:pt idx="191">
                  <c:v>2.5944124066290674E-16</c:v>
                </c:pt>
                <c:pt idx="192">
                  <c:v>2.1045476996549382E-16</c:v>
                </c:pt>
                <c:pt idx="193">
                  <c:v>1.7071769348642758E-16</c:v>
                </c:pt>
                <c:pt idx="194">
                  <c:v>1.384835842594805E-16</c:v>
                </c:pt>
                <c:pt idx="195">
                  <c:v>1.1233576741638184E-16</c:v>
                </c:pt>
                <c:pt idx="196">
                  <c:v>9.1125057951867172E-17</c:v>
                </c:pt>
                <c:pt idx="197">
                  <c:v>7.3919254550089748E-17</c:v>
                </c:pt>
                <c:pt idx="198">
                  <c:v>5.9962169748381113E-17</c:v>
                </c:pt>
                <c:pt idx="199">
                  <c:v>4.8640395832148325E-17</c:v>
                </c:pt>
                <c:pt idx="200">
                  <c:v>3.9456345836650293E-17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94-4174-AC94-0F89CEC187A3}"/>
            </c:ext>
          </c:extLst>
        </c:ser>
        <c:ser>
          <c:idx val="2"/>
          <c:order val="2"/>
          <c:tx>
            <c:v>Traps capture cowbirds ranging across large distances: p10=5, p90=2.5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Sheet1!$A$13:$A$213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Sheet1!$D$13:$D$213</c:f>
              <c:numCache>
                <c:formatCode>General</c:formatCode>
                <c:ptCount val="201"/>
                <c:pt idx="0">
                  <c:v>0.99863013698630132</c:v>
                </c:pt>
                <c:pt idx="1">
                  <c:v>0.99836731566014825</c:v>
                </c:pt>
                <c:pt idx="2">
                  <c:v>0.99805416780063938</c:v>
                </c:pt>
                <c:pt idx="3">
                  <c:v>0.99768109787754189</c:v>
                </c:pt>
                <c:pt idx="4">
                  <c:v>0.99723669815624105</c:v>
                </c:pt>
                <c:pt idx="5">
                  <c:v>0.99670741372054306</c:v>
                </c:pt>
                <c:pt idx="6">
                  <c:v>0.99607714863596652</c:v>
                </c:pt>
                <c:pt idx="7">
                  <c:v>0.99532680421002384</c:v>
                </c:pt>
                <c:pt idx="8">
                  <c:v>0.99443373948565295</c:v>
                </c:pt>
                <c:pt idx="9">
                  <c:v>0.99337114348690347</c:v>
                </c:pt>
                <c:pt idx="10">
                  <c:v>0.99210730849617124</c:v>
                </c:pt>
                <c:pt idx="11">
                  <c:v>0.99060479403258228</c:v>
                </c:pt>
                <c:pt idx="12">
                  <c:v>0.98881947258044722</c:v>
                </c:pt>
                <c:pt idx="13">
                  <c:v>0.98669945098277412</c:v>
                </c:pt>
                <c:pt idx="14">
                  <c:v>0.98418386644159972</c:v>
                </c:pt>
                <c:pt idx="15">
                  <c:v>0.98120156414279236</c:v>
                </c:pt>
                <c:pt idx="16">
                  <c:v>0.97766967578193953</c:v>
                </c:pt>
                <c:pt idx="17">
                  <c:v>0.97349213609823482</c:v>
                </c:pt>
                <c:pt idx="18">
                  <c:v>0.9685581995281678</c:v>
                </c:pt>
                <c:pt idx="19">
                  <c:v>0.96274105295985724</c:v>
                </c:pt>
                <c:pt idx="20">
                  <c:v>0.95589666479941071</c:v>
                </c:pt>
                <c:pt idx="21">
                  <c:v>0.9478630659488001</c:v>
                </c:pt>
                <c:pt idx="22">
                  <c:v>0.93846032410094893</c:v>
                </c:pt>
                <c:pt idx="23">
                  <c:v>0.92749154546561619</c:v>
                </c:pt>
                <c:pt idx="24">
                  <c:v>0.91474530969070456</c:v>
                </c:pt>
                <c:pt idx="25">
                  <c:v>0.9</c:v>
                </c:pt>
                <c:pt idx="26">
                  <c:v>0.88303050897142954</c:v>
                </c:pt>
                <c:pt idx="27">
                  <c:v>0.86361774976592642</c:v>
                </c:pt>
                <c:pt idx="28">
                  <c:v>0.84156124525374632</c:v>
                </c:pt>
                <c:pt idx="29">
                  <c:v>0.81669476595262414</c:v>
                </c:pt>
                <c:pt idx="30">
                  <c:v>0.78890451830004082</c:v>
                </c:pt>
                <c:pt idx="31">
                  <c:v>0.75814875760353917</c:v>
                </c:pt>
                <c:pt idx="32">
                  <c:v>0.72447698173262143</c:v>
                </c:pt>
                <c:pt idx="33">
                  <c:v>0.68804619161221825</c:v>
                </c:pt>
                <c:pt idx="34">
                  <c:v>0.64913128942574072</c:v>
                </c:pt>
                <c:pt idx="35">
                  <c:v>0.60812675726859289</c:v>
                </c:pt>
                <c:pt idx="36">
                  <c:v>0.56553749454715341</c:v>
                </c:pt>
                <c:pt idx="37">
                  <c:v>0.52195811302116024</c:v>
                </c:pt>
                <c:pt idx="38">
                  <c:v>0.47804188697883965</c:v>
                </c:pt>
                <c:pt idx="39">
                  <c:v>0.43446250545284626</c:v>
                </c:pt>
                <c:pt idx="40">
                  <c:v>0.39187324273140678</c:v>
                </c:pt>
                <c:pt idx="41">
                  <c:v>0.35086871057425928</c:v>
                </c:pt>
                <c:pt idx="42">
                  <c:v>0.31195380838778158</c:v>
                </c:pt>
                <c:pt idx="43">
                  <c:v>0.27552301826737841</c:v>
                </c:pt>
                <c:pt idx="44">
                  <c:v>0.24185124239646053</c:v>
                </c:pt>
                <c:pt idx="45">
                  <c:v>0.21109548169995906</c:v>
                </c:pt>
                <c:pt idx="46">
                  <c:v>0.18330523404737603</c:v>
                </c:pt>
                <c:pt idx="47">
                  <c:v>0.15843875474625357</c:v>
                </c:pt>
                <c:pt idx="48">
                  <c:v>0.13638225023407363</c:v>
                </c:pt>
                <c:pt idx="49">
                  <c:v>0.11696949102857022</c:v>
                </c:pt>
                <c:pt idx="50">
                  <c:v>0.10000000000000003</c:v>
                </c:pt>
                <c:pt idx="51">
                  <c:v>8.5254690309295458E-2</c:v>
                </c:pt>
                <c:pt idx="52">
                  <c:v>7.2508454534383843E-2</c:v>
                </c:pt>
                <c:pt idx="53">
                  <c:v>6.1539675899051037E-2</c:v>
                </c:pt>
                <c:pt idx="54">
                  <c:v>5.2136934051199901E-2</c:v>
                </c:pt>
                <c:pt idx="55">
                  <c:v>4.4103335200589219E-2</c:v>
                </c:pt>
                <c:pt idx="56">
                  <c:v>3.7258947040142806E-2</c:v>
                </c:pt>
                <c:pt idx="57">
                  <c:v>3.1441800471832107E-2</c:v>
                </c:pt>
                <c:pt idx="58">
                  <c:v>2.6507863901765245E-2</c:v>
                </c:pt>
                <c:pt idx="59">
                  <c:v>2.2330324218060388E-2</c:v>
                </c:pt>
                <c:pt idx="60">
                  <c:v>1.8798435857207637E-2</c:v>
                </c:pt>
                <c:pt idx="61">
                  <c:v>1.5816133558400267E-2</c:v>
                </c:pt>
                <c:pt idx="62">
                  <c:v>1.3300549017225804E-2</c:v>
                </c:pt>
                <c:pt idx="63">
                  <c:v>1.1180527419552734E-2</c:v>
                </c:pt>
                <c:pt idx="64">
                  <c:v>9.3952059674176601E-3</c:v>
                </c:pt>
                <c:pt idx="65">
                  <c:v>7.8926915038287082E-3</c:v>
                </c:pt>
                <c:pt idx="66">
                  <c:v>6.6288565130964731E-3</c:v>
                </c:pt>
                <c:pt idx="67">
                  <c:v>5.5662605143470181E-3</c:v>
                </c:pt>
                <c:pt idx="68">
                  <c:v>4.6731957899761659E-3</c:v>
                </c:pt>
                <c:pt idx="69">
                  <c:v>3.9228513640334889E-3</c:v>
                </c:pt>
                <c:pt idx="70">
                  <c:v>3.2925862794569087E-3</c:v>
                </c:pt>
                <c:pt idx="71">
                  <c:v>2.7633018437590038E-3</c:v>
                </c:pt>
                <c:pt idx="72">
                  <c:v>2.3189021224581589E-3</c:v>
                </c:pt>
                <c:pt idx="73">
                  <c:v>1.945832199360633E-3</c:v>
                </c:pt>
                <c:pt idx="74">
                  <c:v>1.6326843398517588E-3</c:v>
                </c:pt>
                <c:pt idx="75">
                  <c:v>1.3698630136986312E-3</c:v>
                </c:pt>
                <c:pt idx="76">
                  <c:v>1.1493006410802629E-3</c:v>
                </c:pt>
                <c:pt idx="77">
                  <c:v>9.6421684434496021E-4</c:v>
                </c:pt>
                <c:pt idx="78">
                  <c:v>8.0891487188531675E-4</c:v>
                </c:pt>
                <c:pt idx="79">
                  <c:v>6.7860968288710076E-4</c:v>
                </c:pt>
                <c:pt idx="80">
                  <c:v>5.6928292924424454E-4</c:v>
                </c:pt>
                <c:pt idx="81">
                  <c:v>4.7756073904833363E-4</c:v>
                </c:pt>
                <c:pt idx="82">
                  <c:v>4.0061079565608174E-4</c:v>
                </c:pt>
                <c:pt idx="83">
                  <c:v>3.3605572158341518E-4</c:v>
                </c:pt>
                <c:pt idx="84">
                  <c:v>2.8190022331811587E-4</c:v>
                </c:pt>
                <c:pt idx="85">
                  <c:v>2.3646983832394301E-4</c:v>
                </c:pt>
                <c:pt idx="86">
                  <c:v>1.9835945592843357E-4</c:v>
                </c:pt>
                <c:pt idx="87">
                  <c:v>1.6639006611923098E-4</c:v>
                </c:pt>
                <c:pt idx="88">
                  <c:v>1.3957243074904938E-4</c:v>
                </c:pt>
                <c:pt idx="89">
                  <c:v>1.1707657593839202E-4</c:v>
                </c:pt>
                <c:pt idx="90">
                  <c:v>9.8206177641235842E-5</c:v>
                </c:pt>
                <c:pt idx="91">
                  <c:v>8.2377058880986662E-5</c:v>
                </c:pt>
                <c:pt idx="92">
                  <c:v>6.9099140987051335E-5</c:v>
                </c:pt>
                <c:pt idx="93">
                  <c:v>5.7961295661797958E-5</c:v>
                </c:pt>
                <c:pt idx="94">
                  <c:v>4.8618632810326934E-5</c:v>
                </c:pt>
                <c:pt idx="95">
                  <c:v>4.0781833281902722E-5</c:v>
                </c:pt>
                <c:pt idx="96">
                  <c:v>3.4208198147159815E-5</c:v>
                </c:pt>
                <c:pt idx="97">
                  <c:v>2.8694138696149766E-5</c:v>
                </c:pt>
                <c:pt idx="98">
                  <c:v>2.4068875540777788E-5</c:v>
                </c:pt>
                <c:pt idx="99">
                  <c:v>2.0189152356577261E-5</c:v>
                </c:pt>
                <c:pt idx="100">
                  <c:v>1.6934801016088095E-5</c:v>
                </c:pt>
                <c:pt idx="101">
                  <c:v>1.4205021089726677E-5</c:v>
                </c:pt>
                <c:pt idx="102">
                  <c:v>1.1915258713548989E-5</c:v>
                </c:pt>
                <c:pt idx="103">
                  <c:v>9.9945883157466012E-6</c:v>
                </c:pt>
                <c:pt idx="104">
                  <c:v>8.3835162186384016E-6</c:v>
                </c:pt>
                <c:pt idx="105">
                  <c:v>7.0321381647074673E-6</c:v>
                </c:pt>
                <c:pt idx="106">
                  <c:v>5.8985937529839016E-6</c:v>
                </c:pt>
                <c:pt idx="107">
                  <c:v>4.9477699513658948E-6</c:v>
                </c:pt>
                <c:pt idx="108">
                  <c:v>4.150213553385782E-6</c:v>
                </c:pt>
                <c:pt idx="109">
                  <c:v>3.4812189114716126E-6</c:v>
                </c:pt>
                <c:pt idx="110">
                  <c:v>2.9200627020289772E-6</c:v>
                </c:pt>
                <c:pt idx="111">
                  <c:v>2.4493620278761944E-6</c:v>
                </c:pt>
                <c:pt idx="112">
                  <c:v>2.0545359811043286E-6</c:v>
                </c:pt>
                <c:pt idx="113">
                  <c:v>1.7233539921667584E-6</c:v>
                </c:pt>
                <c:pt idx="114">
                  <c:v>1.445556977867848E-6</c:v>
                </c:pt>
                <c:pt idx="115">
                  <c:v>1.2125395549534634E-6</c:v>
                </c:pt>
                <c:pt idx="116">
                  <c:v>1.0170834768965915E-6</c:v>
                </c:pt>
                <c:pt idx="117">
                  <c:v>8.5313403769609109E-7</c:v>
                </c:pt>
                <c:pt idx="118">
                  <c:v>7.1561251713694676E-7</c:v>
                </c:pt>
                <c:pt idx="119">
                  <c:v>6.0025885816701673E-7</c:v>
                </c:pt>
                <c:pt idx="120">
                  <c:v>5.0349970337258651E-7</c:v>
                </c:pt>
                <c:pt idx="121">
                  <c:v>4.2233770296427182E-7</c:v>
                </c:pt>
                <c:pt idx="122">
                  <c:v>3.5425866553003057E-7</c:v>
                </c:pt>
                <c:pt idx="123">
                  <c:v>2.9715367547116486E-7</c:v>
                </c:pt>
                <c:pt idx="124">
                  <c:v>2.4925376462167399E-7</c:v>
                </c:pt>
                <c:pt idx="125">
                  <c:v>2.0907511441635658E-7</c:v>
                </c:pt>
                <c:pt idx="126">
                  <c:v>1.753730911605357E-7</c:v>
                </c:pt>
                <c:pt idx="127">
                  <c:v>1.4710369056582077E-7</c:v>
                </c:pt>
                <c:pt idx="128">
                  <c:v>1.2339119722572882E-7</c:v>
                </c:pt>
                <c:pt idx="129">
                  <c:v>1.0350105722051529E-7</c:v>
                </c:pt>
                <c:pt idx="130">
                  <c:v>8.6817123524791345E-8</c:v>
                </c:pt>
                <c:pt idx="131">
                  <c:v>7.2822569346223752E-8</c:v>
                </c:pt>
                <c:pt idx="132">
                  <c:v>6.1083878144247303E-8</c:v>
                </c:pt>
                <c:pt idx="133">
                  <c:v>5.123741438373711E-8</c:v>
                </c:pt>
                <c:pt idx="134">
                  <c:v>4.2978159022000222E-8</c:v>
                </c:pt>
                <c:pt idx="135">
                  <c:v>3.6050260784576998E-8</c:v>
                </c:pt>
                <c:pt idx="136">
                  <c:v>3.0239110533315051E-8</c:v>
                </c:pt>
                <c:pt idx="137">
                  <c:v>2.5364693211337206E-8</c:v>
                </c:pt>
                <c:pt idx="138">
                  <c:v>2.1276011425366673E-8</c:v>
                </c:pt>
                <c:pt idx="139">
                  <c:v>1.7846407922318659E-8</c:v>
                </c:pt>
                <c:pt idx="140">
                  <c:v>1.4969642062421133E-8</c:v>
                </c:pt>
                <c:pt idx="141">
                  <c:v>1.2556598747966904E-8</c:v>
                </c:pt>
                <c:pt idx="142">
                  <c:v>1.0532527858626352E-8</c:v>
                </c:pt>
                <c:pt idx="143">
                  <c:v>8.8347286779795378E-9</c:v>
                </c:pt>
                <c:pt idx="144">
                  <c:v>7.4106075806128832E-9</c:v>
                </c:pt>
                <c:pt idx="145">
                  <c:v>6.2160488117887207E-9</c:v>
                </c:pt>
                <c:pt idx="146">
                  <c:v>5.2140478905110315E-9</c:v>
                </c:pt>
                <c:pt idx="147">
                  <c:v>4.3735653022210209E-9</c:v>
                </c:pt>
                <c:pt idx="148">
                  <c:v>3.6685649713749342E-9</c:v>
                </c:pt>
                <c:pt idx="149">
                  <c:v>3.0772077281743627E-9</c:v>
                </c:pt>
                <c:pt idx="150">
                  <c:v>2.5811747850507424E-9</c:v>
                </c:pt>
                <c:pt idx="151">
                  <c:v>2.1651002658834762E-9</c:v>
                </c:pt>
                <c:pt idx="152">
                  <c:v>1.81609520911315E-9</c:v>
                </c:pt>
                <c:pt idx="153">
                  <c:v>1.5233482995450707E-9</c:v>
                </c:pt>
                <c:pt idx="154">
                  <c:v>1.2777909605028736E-9</c:v>
                </c:pt>
                <c:pt idx="155">
                  <c:v>1.0718164317154664E-9</c:v>
                </c:pt>
                <c:pt idx="156">
                  <c:v>8.9904413066518455E-10</c:v>
                </c:pt>
                <c:pt idx="157">
                  <c:v>7.5412199789411282E-10</c:v>
                </c:pt>
                <c:pt idx="158">
                  <c:v>6.3256070341480521E-10</c:v>
                </c:pt>
                <c:pt idx="159">
                  <c:v>5.3059457834961013E-10</c:v>
                </c:pt>
                <c:pt idx="160">
                  <c:v>4.4506496380436543E-10</c:v>
                </c:pt>
                <c:pt idx="161">
                  <c:v>3.7332236341271495E-10</c:v>
                </c:pt>
                <c:pt idx="162">
                  <c:v>3.1314436847854374E-10</c:v>
                </c:pt>
                <c:pt idx="163">
                  <c:v>2.6266681324008418E-10</c:v>
                </c:pt>
                <c:pt idx="164">
                  <c:v>2.2032602761581427E-10</c:v>
                </c:pt>
                <c:pt idx="165">
                  <c:v>1.8481039856475073E-10</c:v>
                </c:pt>
                <c:pt idx="166">
                  <c:v>1.5501973955171037E-10</c:v>
                </c:pt>
                <c:pt idx="167">
                  <c:v>1.3003120948383858E-10</c:v>
                </c:pt>
                <c:pt idx="168">
                  <c:v>1.0907072537121418E-10</c:v>
                </c:pt>
                <c:pt idx="169">
                  <c:v>9.1488983146321516E-11</c:v>
                </c:pt>
                <c:pt idx="170">
                  <c:v>7.6741343826554907E-11</c:v>
                </c:pt>
                <c:pt idx="171">
                  <c:v>6.4370961942736644E-11</c:v>
                </c:pt>
                <c:pt idx="172">
                  <c:v>5.3994633593987113E-11</c:v>
                </c:pt>
                <c:pt idx="173">
                  <c:v>4.5290925736631597E-11</c:v>
                </c:pt>
                <c:pt idx="174">
                  <c:v>3.7990218981810783E-11</c:v>
                </c:pt>
                <c:pt idx="175">
                  <c:v>3.1866355452233953E-11</c:v>
                </c:pt>
                <c:pt idx="176">
                  <c:v>2.6729632969299511E-11</c:v>
                </c:pt>
                <c:pt idx="177">
                  <c:v>2.2420928547785569E-11</c:v>
                </c:pt>
                <c:pt idx="178">
                  <c:v>1.8806769158481602E-11</c:v>
                </c:pt>
                <c:pt idx="179">
                  <c:v>1.5775197063153937E-11</c:v>
                </c:pt>
                <c:pt idx="180">
                  <c:v>1.3232301640124407E-11</c:v>
                </c:pt>
                <c:pt idx="181">
                  <c:v>1.1099310264981296E-11</c:v>
                </c:pt>
                <c:pt idx="182">
                  <c:v>9.3101481290838412E-12</c:v>
                </c:pt>
                <c:pt idx="183">
                  <c:v>7.8093914050616984E-12</c:v>
                </c:pt>
                <c:pt idx="184">
                  <c:v>6.5505503534280008E-12</c:v>
                </c:pt>
                <c:pt idx="185">
                  <c:v>5.4946291851852311E-12</c:v>
                </c:pt>
                <c:pt idx="186">
                  <c:v>4.6089180685230213E-12</c:v>
                </c:pt>
                <c:pt idx="187">
                  <c:v>3.8659798589554583E-12</c:v>
                </c:pt>
                <c:pt idx="188">
                  <c:v>3.2428001642990855E-12</c:v>
                </c:pt>
                <c:pt idx="189">
                  <c:v>2.7200744156019542E-12</c:v>
                </c:pt>
                <c:pt idx="190">
                  <c:v>2.28160985924054E-12</c:v>
                </c:pt>
                <c:pt idx="191">
                  <c:v>1.9138239453758599E-12</c:v>
                </c:pt>
                <c:pt idx="192">
                  <c:v>1.6053235740807195E-12</c:v>
                </c:pt>
                <c:pt idx="193">
                  <c:v>1.3465521652217776E-12</c:v>
                </c:pt>
                <c:pt idx="194">
                  <c:v>1.129493619192444E-12</c:v>
                </c:pt>
                <c:pt idx="195">
                  <c:v>9.4742399793051033E-13</c:v>
                </c:pt>
                <c:pt idx="196">
                  <c:v>7.9470323391146946E-13</c:v>
                </c:pt>
                <c:pt idx="197">
                  <c:v>6.6660041477612917E-13</c:v>
                </c:pt>
                <c:pt idx="198">
                  <c:v>5.5914723134145042E-13</c:v>
                </c:pt>
                <c:pt idx="199">
                  <c:v>4.6901504917575695E-13</c:v>
                </c:pt>
                <c:pt idx="200">
                  <c:v>3.9341179571897467E-13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94-4174-AC94-0F89CEC18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90192"/>
        <c:axId val="507590584"/>
      </c:scatterChart>
      <c:valAx>
        <c:axId val="507590192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to cowbird trap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90584"/>
        <c:crosses val="autoZero"/>
        <c:crossBetween val="midCat"/>
        <c:majorUnit val="0.5"/>
        <c:minorUnit val="0.1"/>
      </c:valAx>
      <c:valAx>
        <c:axId val="507590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Cowbird capture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9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41788479935299"/>
          <c:y val="0.19144754670447831"/>
          <c:w val="0.33147884777066822"/>
          <c:h val="0.23170996565170482"/>
        </c:manualLayout>
      </c:layout>
      <c:overlay val="0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459396</xdr:colOff>
      <xdr:row>13</xdr:row>
      <xdr:rowOff>18806</xdr:rowOff>
    </xdr:from>
    <xdr:to>
      <xdr:col>13</xdr:col>
      <xdr:colOff>595923</xdr:colOff>
      <xdr:row>36</xdr:row>
      <xdr:rowOff>87923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zoomScale="130" zoomScaleNormal="130" workbookViewId="0">
      <selection activeCell="B4" sqref="B4"/>
    </sheetView>
  </sheetViews>
  <sheetFormatPr defaultColWidth="11" defaultRowHeight="15.5" x14ac:dyDescent="0.35"/>
  <cols>
    <col min="1" max="1" width="22.58203125" style="1" bestFit="1" customWidth="1"/>
    <col min="2" max="2" width="36.58203125" style="2" customWidth="1"/>
    <col min="3" max="3" width="25.58203125" style="2" bestFit="1" customWidth="1"/>
    <col min="4" max="4" width="30.08203125" style="2" bestFit="1" customWidth="1"/>
  </cols>
  <sheetData>
    <row r="1" spans="1:8" x14ac:dyDescent="0.35">
      <c r="A1" s="1" t="s">
        <v>19</v>
      </c>
      <c r="B1" s="2" t="s">
        <v>17</v>
      </c>
      <c r="C1" s="2" t="s">
        <v>18</v>
      </c>
      <c r="D1" s="2" t="s">
        <v>16</v>
      </c>
    </row>
    <row r="2" spans="1:8" x14ac:dyDescent="0.35">
      <c r="A2" s="1" t="s">
        <v>20</v>
      </c>
      <c r="B2" s="2" t="s">
        <v>13</v>
      </c>
      <c r="C2" s="2" t="s">
        <v>15</v>
      </c>
      <c r="D2" s="2" t="s">
        <v>14</v>
      </c>
    </row>
    <row r="4" spans="1:8" x14ac:dyDescent="0.35">
      <c r="A4" s="5" t="s">
        <v>12</v>
      </c>
      <c r="B4" s="2">
        <v>1</v>
      </c>
      <c r="C4" s="4">
        <v>3</v>
      </c>
      <c r="D4" s="2">
        <v>5</v>
      </c>
      <c r="G4" s="3" t="s">
        <v>8</v>
      </c>
      <c r="H4" s="3" t="s">
        <v>9</v>
      </c>
    </row>
    <row r="5" spans="1:8" x14ac:dyDescent="0.35">
      <c r="A5" s="5" t="s">
        <v>11</v>
      </c>
      <c r="B5" s="2">
        <v>0.2</v>
      </c>
      <c r="C5" s="4">
        <v>0.9</v>
      </c>
      <c r="D5" s="2">
        <v>2.5</v>
      </c>
      <c r="G5" s="3" t="s">
        <v>6</v>
      </c>
      <c r="H5" s="3" t="s">
        <v>21</v>
      </c>
    </row>
    <row r="6" spans="1:8" x14ac:dyDescent="0.35">
      <c r="G6" s="3" t="s">
        <v>10</v>
      </c>
      <c r="H6" s="3" t="s">
        <v>23</v>
      </c>
    </row>
    <row r="7" spans="1:8" x14ac:dyDescent="0.35">
      <c r="A7" s="1" t="s">
        <v>0</v>
      </c>
      <c r="B7" s="2">
        <f>B9-B8*B4</f>
        <v>3.2958368660043282</v>
      </c>
      <c r="C7" s="2">
        <f t="shared" ref="C7:D7" si="0">C9-C8*C4</f>
        <v>4.0805599293386932</v>
      </c>
      <c r="D7" s="2">
        <f t="shared" si="0"/>
        <v>6.5916737320086574</v>
      </c>
      <c r="G7" s="3" t="s">
        <v>5</v>
      </c>
      <c r="H7" s="3" t="s">
        <v>22</v>
      </c>
    </row>
    <row r="8" spans="1:8" x14ac:dyDescent="0.35">
      <c r="A8" s="1" t="s">
        <v>1</v>
      </c>
      <c r="B8" s="2">
        <f>(B9-B10)/(B4-B5)</f>
        <v>-5.4930614433405474</v>
      </c>
      <c r="C8" s="2">
        <f t="shared" ref="C8:D8" si="1">(C9-C10)/(C4-C5)</f>
        <v>-2.0925948355583039</v>
      </c>
      <c r="D8" s="2">
        <f t="shared" si="1"/>
        <v>-1.7577796618689754</v>
      </c>
    </row>
    <row r="9" spans="1:8" x14ac:dyDescent="0.35">
      <c r="A9" s="1" t="s">
        <v>2</v>
      </c>
      <c r="B9" s="2">
        <f>LN(0.1/0.9)</f>
        <v>-2.1972245773362191</v>
      </c>
      <c r="C9" s="2">
        <f t="shared" ref="C9:D9" si="2">LN(0.1/0.9)</f>
        <v>-2.1972245773362191</v>
      </c>
      <c r="D9" s="2">
        <f t="shared" si="2"/>
        <v>-2.1972245773362191</v>
      </c>
    </row>
    <row r="10" spans="1:8" x14ac:dyDescent="0.35">
      <c r="A10" s="1" t="s">
        <v>3</v>
      </c>
      <c r="B10" s="2">
        <f>LN(0.9/0.1)</f>
        <v>2.1972245773362196</v>
      </c>
      <c r="C10" s="2">
        <f t="shared" ref="C10:D10" si="3">LN(0.9/0.1)</f>
        <v>2.1972245773362196</v>
      </c>
      <c r="D10" s="2">
        <f t="shared" si="3"/>
        <v>2.1972245773362196</v>
      </c>
    </row>
    <row r="12" spans="1:8" x14ac:dyDescent="0.35">
      <c r="A12" s="1" t="s">
        <v>4</v>
      </c>
      <c r="B12" s="2" t="s">
        <v>7</v>
      </c>
    </row>
    <row r="13" spans="1:8" x14ac:dyDescent="0.35">
      <c r="A13" s="1">
        <v>0</v>
      </c>
      <c r="B13" s="2">
        <f>EXP(B$7+B$8*$A13)/(1+EXP(B$7+B$8*$A13))</f>
        <v>0.9642857142857143</v>
      </c>
      <c r="C13" s="2">
        <f t="shared" ref="C13:D13" si="4">EXP(C$7+C$8*$A13)/(1+EXP(C$7+C$8*$A13))</f>
        <v>0.98338279621486846</v>
      </c>
      <c r="D13" s="2">
        <f t="shared" si="4"/>
        <v>0.99863013698630132</v>
      </c>
    </row>
    <row r="14" spans="1:8" x14ac:dyDescent="0.35">
      <c r="A14" s="1">
        <v>0.1</v>
      </c>
      <c r="B14" s="2">
        <f t="shared" ref="B14:D77" si="5">EXP(B$7+B$8*$A14)/(1+EXP(B$7+B$8*$A14))</f>
        <v>0.93971711872677721</v>
      </c>
      <c r="C14" s="2">
        <f t="shared" si="5"/>
        <v>0.97959382450911958</v>
      </c>
      <c r="D14" s="2">
        <f t="shared" si="5"/>
        <v>0.99836731566014825</v>
      </c>
    </row>
    <row r="15" spans="1:8" x14ac:dyDescent="0.35">
      <c r="A15" s="1">
        <v>0.2</v>
      </c>
      <c r="B15" s="2">
        <f t="shared" si="5"/>
        <v>0.89999999999999991</v>
      </c>
      <c r="C15" s="2">
        <f t="shared" si="5"/>
        <v>0.97496290654349638</v>
      </c>
      <c r="D15" s="2">
        <f t="shared" si="5"/>
        <v>0.99805416780063938</v>
      </c>
    </row>
    <row r="16" spans="1:8" x14ac:dyDescent="0.35">
      <c r="A16" s="1">
        <v>0.3</v>
      </c>
      <c r="B16" s="2">
        <f t="shared" si="5"/>
        <v>0.83860952220359097</v>
      </c>
      <c r="C16" s="2">
        <f t="shared" si="5"/>
        <v>0.96931398210540121</v>
      </c>
      <c r="D16" s="2">
        <f t="shared" si="5"/>
        <v>0.99768109787754189</v>
      </c>
    </row>
    <row r="17" spans="1:4" x14ac:dyDescent="0.35">
      <c r="A17" s="1">
        <v>0.4</v>
      </c>
      <c r="B17" s="2">
        <f t="shared" si="5"/>
        <v>0.74999999999999989</v>
      </c>
      <c r="C17" s="2">
        <f t="shared" si="5"/>
        <v>0.96243963571869195</v>
      </c>
      <c r="D17" s="2">
        <f t="shared" si="5"/>
        <v>0.99723669815624105</v>
      </c>
    </row>
    <row r="18" spans="1:4" x14ac:dyDescent="0.35">
      <c r="A18" s="1">
        <v>0.5</v>
      </c>
      <c r="B18" s="2">
        <f t="shared" si="5"/>
        <v>0.63397459621556129</v>
      </c>
      <c r="C18" s="2">
        <f t="shared" si="5"/>
        <v>0.95409821061507938</v>
      </c>
      <c r="D18" s="2">
        <f t="shared" si="5"/>
        <v>0.99670741372054306</v>
      </c>
    </row>
    <row r="19" spans="1:4" x14ac:dyDescent="0.35">
      <c r="A19" s="1">
        <v>0.6</v>
      </c>
      <c r="B19" s="2">
        <f t="shared" si="5"/>
        <v>0.5</v>
      </c>
      <c r="C19" s="2">
        <f t="shared" si="5"/>
        <v>0.94401208097829714</v>
      </c>
      <c r="D19" s="2">
        <f t="shared" si="5"/>
        <v>0.99607714863596652</v>
      </c>
    </row>
    <row r="20" spans="1:4" x14ac:dyDescent="0.35">
      <c r="A20" s="1">
        <v>0.7</v>
      </c>
      <c r="B20" s="2">
        <f t="shared" si="5"/>
        <v>0.36602540378443871</v>
      </c>
      <c r="C20" s="2">
        <f t="shared" si="5"/>
        <v>0.93186796004523742</v>
      </c>
      <c r="D20" s="2">
        <f t="shared" si="5"/>
        <v>0.99532680421002384</v>
      </c>
    </row>
    <row r="21" spans="1:4" x14ac:dyDescent="0.35">
      <c r="A21" s="1">
        <v>0.8</v>
      </c>
      <c r="B21" s="2">
        <f t="shared" si="5"/>
        <v>0.24999999999999992</v>
      </c>
      <c r="C21" s="2">
        <f t="shared" si="5"/>
        <v>0.91732041109714546</v>
      </c>
      <c r="D21" s="2">
        <f t="shared" si="5"/>
        <v>0.99443373948565295</v>
      </c>
    </row>
    <row r="22" spans="1:4" x14ac:dyDescent="0.35">
      <c r="A22" s="1">
        <v>0.9</v>
      </c>
      <c r="B22" s="2">
        <f t="shared" si="5"/>
        <v>0.16139047779640892</v>
      </c>
      <c r="C22" s="2">
        <f t="shared" si="5"/>
        <v>0.9</v>
      </c>
      <c r="D22" s="2">
        <f t="shared" si="5"/>
        <v>0.99337114348690347</v>
      </c>
    </row>
    <row r="23" spans="1:4" x14ac:dyDescent="0.35">
      <c r="A23" s="1">
        <v>1</v>
      </c>
      <c r="B23" s="2">
        <f t="shared" si="5"/>
        <v>0.10000000000000003</v>
      </c>
      <c r="C23" s="2">
        <f t="shared" si="5"/>
        <v>0.87952768791197811</v>
      </c>
      <c r="D23" s="2">
        <f t="shared" si="5"/>
        <v>0.99210730849617124</v>
      </c>
    </row>
    <row r="24" spans="1:4" x14ac:dyDescent="0.35">
      <c r="A24" s="1">
        <v>1.1000000000000001</v>
      </c>
      <c r="B24" s="2">
        <f t="shared" si="5"/>
        <v>6.0282881273222691E-2</v>
      </c>
      <c r="C24" s="2">
        <f t="shared" si="5"/>
        <v>0.85553696139771984</v>
      </c>
      <c r="D24" s="2">
        <f t="shared" si="5"/>
        <v>0.99060479403258228</v>
      </c>
    </row>
    <row r="25" spans="1:4" x14ac:dyDescent="0.35">
      <c r="A25" s="1">
        <v>1.2</v>
      </c>
      <c r="B25" s="2">
        <f t="shared" si="5"/>
        <v>3.5714285714285747E-2</v>
      </c>
      <c r="C25" s="2">
        <f t="shared" si="5"/>
        <v>0.8277046349081012</v>
      </c>
      <c r="D25" s="2">
        <f t="shared" si="5"/>
        <v>0.98881947258044722</v>
      </c>
    </row>
    <row r="26" spans="1:4" x14ac:dyDescent="0.35">
      <c r="A26" s="1">
        <v>1.3</v>
      </c>
      <c r="B26" s="2">
        <f t="shared" si="5"/>
        <v>2.0935668711966924E-2</v>
      </c>
      <c r="C26" s="2">
        <f t="shared" si="5"/>
        <v>0.79579003043752883</v>
      </c>
      <c r="D26" s="2">
        <f t="shared" si="5"/>
        <v>0.98669945098277412</v>
      </c>
    </row>
    <row r="27" spans="1:4" x14ac:dyDescent="0.35">
      <c r="A27" s="1">
        <v>1.4</v>
      </c>
      <c r="B27" s="2">
        <f t="shared" si="5"/>
        <v>1.2195121951219528E-2</v>
      </c>
      <c r="C27" s="2">
        <f t="shared" si="5"/>
        <v>0.75968022567954652</v>
      </c>
      <c r="D27" s="2">
        <f t="shared" si="5"/>
        <v>0.98418386644159972</v>
      </c>
    </row>
    <row r="28" spans="1:4" x14ac:dyDescent="0.35">
      <c r="A28" s="1">
        <v>1.5</v>
      </c>
      <c r="B28" s="2">
        <f t="shared" si="5"/>
        <v>7.077335403570733E-3</v>
      </c>
      <c r="C28" s="2">
        <f t="shared" si="5"/>
        <v>0.71943639707904417</v>
      </c>
      <c r="D28" s="2">
        <f t="shared" si="5"/>
        <v>0.98120156414279236</v>
      </c>
    </row>
    <row r="29" spans="1:4" x14ac:dyDescent="0.35">
      <c r="A29" s="1">
        <v>1.6</v>
      </c>
      <c r="B29" s="2">
        <f t="shared" si="5"/>
        <v>4.098360655737706E-3</v>
      </c>
      <c r="C29" s="2">
        <f t="shared" si="5"/>
        <v>0.67533351121296792</v>
      </c>
      <c r="D29" s="2">
        <f t="shared" si="5"/>
        <v>0.97766967578193953</v>
      </c>
    </row>
    <row r="30" spans="1:4" x14ac:dyDescent="0.35">
      <c r="A30" s="1">
        <v>1.7</v>
      </c>
      <c r="B30" s="2">
        <f t="shared" si="5"/>
        <v>2.3702953848195145E-3</v>
      </c>
      <c r="C30" s="2">
        <f t="shared" si="5"/>
        <v>0.62788374450389961</v>
      </c>
      <c r="D30" s="2">
        <f t="shared" si="5"/>
        <v>0.97349213609823482</v>
      </c>
    </row>
    <row r="31" spans="1:4" x14ac:dyDescent="0.35">
      <c r="A31" s="1">
        <v>1.8</v>
      </c>
      <c r="B31" s="2">
        <f t="shared" si="5"/>
        <v>1.3698630136986312E-3</v>
      </c>
      <c r="C31" s="2">
        <f t="shared" si="5"/>
        <v>0.57783429193970837</v>
      </c>
      <c r="D31" s="2">
        <f t="shared" si="5"/>
        <v>0.9685581995281678</v>
      </c>
    </row>
    <row r="32" spans="1:4" x14ac:dyDescent="0.35">
      <c r="A32" s="1">
        <v>1.9</v>
      </c>
      <c r="B32" s="2">
        <f t="shared" si="5"/>
        <v>7.9134894878055628E-4</v>
      </c>
      <c r="C32" s="2">
        <f t="shared" si="5"/>
        <v>0.52613359858421549</v>
      </c>
      <c r="D32" s="2">
        <f t="shared" si="5"/>
        <v>0.96274105295985724</v>
      </c>
    </row>
    <row r="33" spans="1:4" x14ac:dyDescent="0.35">
      <c r="A33" s="1">
        <v>2</v>
      </c>
      <c r="B33" s="2">
        <f t="shared" si="5"/>
        <v>4.5703839122486354E-4</v>
      </c>
      <c r="C33" s="2">
        <f t="shared" si="5"/>
        <v>0.47386640141578484</v>
      </c>
      <c r="D33" s="2">
        <f t="shared" si="5"/>
        <v>0.95589666479941071</v>
      </c>
    </row>
    <row r="34" spans="1:4" x14ac:dyDescent="0.35">
      <c r="A34" s="1">
        <v>2.1</v>
      </c>
      <c r="B34" s="2">
        <f t="shared" si="5"/>
        <v>2.639222193073907E-4</v>
      </c>
      <c r="C34" s="2">
        <f t="shared" si="5"/>
        <v>0.42216570806029197</v>
      </c>
      <c r="D34" s="2">
        <f t="shared" si="5"/>
        <v>0.9478630659488001</v>
      </c>
    </row>
    <row r="35" spans="1:4" x14ac:dyDescent="0.35">
      <c r="A35" s="1">
        <v>2.2000000000000002</v>
      </c>
      <c r="B35" s="2">
        <f t="shared" si="5"/>
        <v>1.523925632429139E-4</v>
      </c>
      <c r="C35" s="2">
        <f t="shared" si="5"/>
        <v>0.37211625549610045</v>
      </c>
      <c r="D35" s="2">
        <f t="shared" si="5"/>
        <v>0.93846032410094893</v>
      </c>
    </row>
    <row r="36" spans="1:4" x14ac:dyDescent="0.35">
      <c r="A36" s="1">
        <v>2.2999999999999998</v>
      </c>
      <c r="B36" s="2">
        <f t="shared" si="5"/>
        <v>8.79895547014989E-5</v>
      </c>
      <c r="C36" s="2">
        <f t="shared" si="5"/>
        <v>0.32466648878703225</v>
      </c>
      <c r="D36" s="2">
        <f t="shared" si="5"/>
        <v>0.92749154546561619</v>
      </c>
    </row>
    <row r="37" spans="1:4" x14ac:dyDescent="0.35">
      <c r="A37" s="1">
        <v>2.4</v>
      </c>
      <c r="B37" s="2">
        <f t="shared" si="5"/>
        <v>5.080268238162992E-5</v>
      </c>
      <c r="C37" s="2">
        <f t="shared" si="5"/>
        <v>0.280563602920956</v>
      </c>
      <c r="D37" s="2">
        <f t="shared" si="5"/>
        <v>0.91474530969070456</v>
      </c>
    </row>
    <row r="38" spans="1:4" x14ac:dyDescent="0.35">
      <c r="A38" s="1">
        <v>2.5</v>
      </c>
      <c r="B38" s="2">
        <f t="shared" si="5"/>
        <v>2.9331572148480954E-5</v>
      </c>
      <c r="C38" s="2">
        <f t="shared" si="5"/>
        <v>0.24031977432045376</v>
      </c>
      <c r="D38" s="2">
        <f t="shared" si="5"/>
        <v>0.9</v>
      </c>
    </row>
    <row r="39" spans="1:4" x14ac:dyDescent="0.35">
      <c r="A39" s="1">
        <v>2.6</v>
      </c>
      <c r="B39" s="2">
        <f t="shared" si="5"/>
        <v>1.6934801016088095E-5</v>
      </c>
      <c r="C39" s="2">
        <f t="shared" si="5"/>
        <v>0.20420996956247117</v>
      </c>
      <c r="D39" s="2">
        <f t="shared" si="5"/>
        <v>0.88303050897142954</v>
      </c>
    </row>
    <row r="40" spans="1:4" x14ac:dyDescent="0.35">
      <c r="A40" s="1">
        <v>2.7</v>
      </c>
      <c r="B40" s="2">
        <f t="shared" si="5"/>
        <v>9.7773819068155216E-6</v>
      </c>
      <c r="C40" s="2">
        <f t="shared" si="5"/>
        <v>0.17229536509189891</v>
      </c>
      <c r="D40" s="2">
        <f t="shared" si="5"/>
        <v>0.86361774976592642</v>
      </c>
    </row>
    <row r="41" spans="1:4" x14ac:dyDescent="0.35">
      <c r="A41" s="1">
        <v>2.8</v>
      </c>
      <c r="B41" s="2">
        <f t="shared" si="5"/>
        <v>5.6449974033012195E-6</v>
      </c>
      <c r="C41" s="2">
        <f t="shared" si="5"/>
        <v>0.1444630386022803</v>
      </c>
      <c r="D41" s="2">
        <f t="shared" si="5"/>
        <v>0.84156124525374632</v>
      </c>
    </row>
    <row r="42" spans="1:4" x14ac:dyDescent="0.35">
      <c r="A42" s="1">
        <v>2.9</v>
      </c>
      <c r="B42" s="2">
        <f t="shared" si="5"/>
        <v>3.2591485462318668E-6</v>
      </c>
      <c r="C42" s="2">
        <f t="shared" si="5"/>
        <v>0.12047231208802202</v>
      </c>
      <c r="D42" s="2">
        <f t="shared" si="5"/>
        <v>0.81669476595262414</v>
      </c>
    </row>
    <row r="43" spans="1:4" x14ac:dyDescent="0.35">
      <c r="A43" s="1">
        <v>3</v>
      </c>
      <c r="B43" s="2">
        <f t="shared" si="5"/>
        <v>1.8816728824594281E-6</v>
      </c>
      <c r="C43" s="2">
        <f t="shared" si="5"/>
        <v>0.10000000000000003</v>
      </c>
      <c r="D43" s="2">
        <f t="shared" si="5"/>
        <v>0.78890451830004082</v>
      </c>
    </row>
    <row r="44" spans="1:4" x14ac:dyDescent="0.35">
      <c r="A44" s="1">
        <v>3.1</v>
      </c>
      <c r="B44" s="2">
        <f t="shared" si="5"/>
        <v>1.0863852092044749E-6</v>
      </c>
      <c r="C44" s="2">
        <f t="shared" si="5"/>
        <v>8.2679588902854553E-2</v>
      </c>
      <c r="D44" s="2">
        <f t="shared" si="5"/>
        <v>0.75814875760353917</v>
      </c>
    </row>
    <row r="45" spans="1:4" x14ac:dyDescent="0.35">
      <c r="A45" s="1">
        <v>3.2</v>
      </c>
      <c r="B45" s="2">
        <f t="shared" si="5"/>
        <v>6.272250809747593E-7</v>
      </c>
      <c r="C45" s="2">
        <f t="shared" si="5"/>
        <v>6.8132039954762635E-2</v>
      </c>
      <c r="D45" s="2">
        <f t="shared" si="5"/>
        <v>0.72447698173262143</v>
      </c>
    </row>
    <row r="46" spans="1:4" x14ac:dyDescent="0.35">
      <c r="A46" s="1">
        <v>3.3</v>
      </c>
      <c r="B46" s="2">
        <f t="shared" si="5"/>
        <v>3.6212866534230846E-7</v>
      </c>
      <c r="C46" s="2">
        <f t="shared" si="5"/>
        <v>5.5987919021702998E-2</v>
      </c>
      <c r="D46" s="2">
        <f t="shared" si="5"/>
        <v>0.68804619161221825</v>
      </c>
    </row>
    <row r="47" spans="1:4" x14ac:dyDescent="0.35">
      <c r="A47" s="1">
        <v>3.4</v>
      </c>
      <c r="B47" s="2">
        <f t="shared" si="5"/>
        <v>2.0907511441635733E-7</v>
      </c>
      <c r="C47" s="2">
        <f t="shared" si="5"/>
        <v>4.5901789384920684E-2</v>
      </c>
      <c r="D47" s="2">
        <f t="shared" si="5"/>
        <v>0.64913128942574072</v>
      </c>
    </row>
    <row r="48" spans="1:4" x14ac:dyDescent="0.35">
      <c r="A48" s="1">
        <v>3.5</v>
      </c>
      <c r="B48" s="2">
        <f t="shared" si="5"/>
        <v>1.2070958425570355E-7</v>
      </c>
      <c r="C48" s="2">
        <f t="shared" si="5"/>
        <v>3.7560364281308073E-2</v>
      </c>
      <c r="D48" s="2">
        <f t="shared" si="5"/>
        <v>0.60812675726859289</v>
      </c>
    </row>
    <row r="49" spans="1:4" x14ac:dyDescent="0.35">
      <c r="A49" s="1">
        <v>3.6</v>
      </c>
      <c r="B49" s="2">
        <f t="shared" si="5"/>
        <v>6.9691714519321149E-8</v>
      </c>
      <c r="C49" s="2">
        <f t="shared" si="5"/>
        <v>3.0686017894598832E-2</v>
      </c>
      <c r="D49" s="2">
        <f t="shared" si="5"/>
        <v>0.56553749454715341</v>
      </c>
    </row>
    <row r="50" spans="1:4" x14ac:dyDescent="0.35">
      <c r="A50" s="1">
        <v>3.7</v>
      </c>
      <c r="B50" s="2">
        <f t="shared" si="5"/>
        <v>4.0236531323191103E-8</v>
      </c>
      <c r="C50" s="2">
        <f t="shared" si="5"/>
        <v>2.5037093456503623E-2</v>
      </c>
      <c r="D50" s="2">
        <f t="shared" si="5"/>
        <v>0.52195811302116024</v>
      </c>
    </row>
    <row r="51" spans="1:4" x14ac:dyDescent="0.35">
      <c r="A51" s="1">
        <v>3.8</v>
      </c>
      <c r="B51" s="2">
        <f t="shared" si="5"/>
        <v>2.3230572585759392E-8</v>
      </c>
      <c r="C51" s="2">
        <f t="shared" si="5"/>
        <v>2.0406175490880495E-2</v>
      </c>
      <c r="D51" s="2">
        <f t="shared" si="5"/>
        <v>0.47804188697883965</v>
      </c>
    </row>
    <row r="52" spans="1:4" x14ac:dyDescent="0.35">
      <c r="A52" s="1">
        <v>3.9</v>
      </c>
      <c r="B52" s="2">
        <f t="shared" si="5"/>
        <v>1.3412177467503353E-8</v>
      </c>
      <c r="C52" s="2">
        <f t="shared" si="5"/>
        <v>1.6617203785131551E-2</v>
      </c>
      <c r="D52" s="2">
        <f t="shared" si="5"/>
        <v>0.43446250545284626</v>
      </c>
    </row>
    <row r="53" spans="1:4" x14ac:dyDescent="0.35">
      <c r="A53" s="1">
        <v>4</v>
      </c>
      <c r="B53" s="2">
        <f t="shared" si="5"/>
        <v>7.7435243151774576E-9</v>
      </c>
      <c r="C53" s="2">
        <f t="shared" si="5"/>
        <v>1.3522048322331452E-2</v>
      </c>
      <c r="D53" s="2">
        <f t="shared" si="5"/>
        <v>0.39187324273140678</v>
      </c>
    </row>
    <row r="54" spans="1:4" x14ac:dyDescent="0.35">
      <c r="A54" s="1">
        <v>4.0999999999999996</v>
      </c>
      <c r="B54" s="2">
        <f t="shared" si="5"/>
        <v>4.470725862475908E-9</v>
      </c>
      <c r="C54" s="2">
        <f t="shared" si="5"/>
        <v>1.0996956063020655E-2</v>
      </c>
      <c r="D54" s="2">
        <f t="shared" si="5"/>
        <v>0.35086871057425928</v>
      </c>
    </row>
    <row r="55" spans="1:4" x14ac:dyDescent="0.35">
      <c r="A55" s="1">
        <v>4.2</v>
      </c>
      <c r="B55" s="2">
        <f t="shared" si="5"/>
        <v>2.5811747850507424E-9</v>
      </c>
      <c r="C55" s="2">
        <f t="shared" si="5"/>
        <v>8.9391238537310132E-3</v>
      </c>
      <c r="D55" s="2">
        <f t="shared" si="5"/>
        <v>0.31195380838778158</v>
      </c>
    </row>
    <row r="56" spans="1:4" x14ac:dyDescent="0.35">
      <c r="A56" s="1">
        <v>4.3</v>
      </c>
      <c r="B56" s="2">
        <f t="shared" si="5"/>
        <v>1.490241958600276E-9</v>
      </c>
      <c r="C56" s="2">
        <f t="shared" si="5"/>
        <v>7.2635403906211151E-3</v>
      </c>
      <c r="D56" s="2">
        <f t="shared" si="5"/>
        <v>0.27552301826737841</v>
      </c>
    </row>
    <row r="57" spans="1:4" x14ac:dyDescent="0.35">
      <c r="A57" s="1">
        <v>4.4000000000000004</v>
      </c>
      <c r="B57" s="2">
        <f t="shared" si="5"/>
        <v>8.6039159649746051E-10</v>
      </c>
      <c r="C57" s="2">
        <f t="shared" si="5"/>
        <v>5.9001648562908597E-3</v>
      </c>
      <c r="D57" s="2">
        <f t="shared" si="5"/>
        <v>0.24185124239646053</v>
      </c>
    </row>
    <row r="58" spans="1:4" x14ac:dyDescent="0.35">
      <c r="A58" s="1">
        <v>4.5</v>
      </c>
      <c r="B58" s="2">
        <f t="shared" si="5"/>
        <v>4.9674732002694057E-10</v>
      </c>
      <c r="C58" s="2">
        <f t="shared" si="5"/>
        <v>4.7914614582736928E-3</v>
      </c>
      <c r="D58" s="2">
        <f t="shared" si="5"/>
        <v>0.21109548169995906</v>
      </c>
    </row>
    <row r="59" spans="1:4" x14ac:dyDescent="0.35">
      <c r="A59" s="1">
        <v>4.5999999999999996</v>
      </c>
      <c r="B59" s="2">
        <f t="shared" si="5"/>
        <v>2.8679719899699374E-10</v>
      </c>
      <c r="C59" s="2">
        <f t="shared" si="5"/>
        <v>3.8902798583867497E-3</v>
      </c>
      <c r="D59" s="2">
        <f t="shared" si="5"/>
        <v>0.18330523404737603</v>
      </c>
    </row>
    <row r="60" spans="1:4" x14ac:dyDescent="0.35">
      <c r="A60" s="1">
        <v>4.7</v>
      </c>
      <c r="B60" s="2">
        <f t="shared" si="5"/>
        <v>1.6558244006381566E-10</v>
      </c>
      <c r="C60" s="2">
        <f t="shared" si="5"/>
        <v>3.1580553061493909E-3</v>
      </c>
      <c r="D60" s="2">
        <f t="shared" si="5"/>
        <v>0.15843875474625357</v>
      </c>
    </row>
    <row r="61" spans="1:4" x14ac:dyDescent="0.35">
      <c r="A61" s="1">
        <v>4.8</v>
      </c>
      <c r="B61" s="2">
        <f t="shared" si="5"/>
        <v>9.5599066350609513E-11</v>
      </c>
      <c r="C61" s="2">
        <f t="shared" si="5"/>
        <v>2.5632946715228532E-3</v>
      </c>
      <c r="D61" s="2">
        <f t="shared" si="5"/>
        <v>0.13638225023407363</v>
      </c>
    </row>
    <row r="62" spans="1:4" x14ac:dyDescent="0.35">
      <c r="A62" s="1">
        <v>4.9000000000000004</v>
      </c>
      <c r="B62" s="2">
        <f t="shared" si="5"/>
        <v>5.5194146694031283E-11</v>
      </c>
      <c r="C62" s="2">
        <f t="shared" si="5"/>
        <v>2.0803123171400555E-3</v>
      </c>
      <c r="D62" s="2">
        <f t="shared" si="5"/>
        <v>0.11696949102857022</v>
      </c>
    </row>
    <row r="63" spans="1:4" x14ac:dyDescent="0.35">
      <c r="A63" s="1">
        <v>5</v>
      </c>
      <c r="B63" s="2">
        <f t="shared" si="5"/>
        <v>3.1866355452234063E-11</v>
      </c>
      <c r="C63" s="2">
        <f t="shared" si="5"/>
        <v>1.6881806714152947E-3</v>
      </c>
      <c r="D63" s="2">
        <f t="shared" si="5"/>
        <v>0.10000000000000003</v>
      </c>
    </row>
    <row r="64" spans="1:4" x14ac:dyDescent="0.35">
      <c r="A64" s="1">
        <v>5.0999999999999996</v>
      </c>
      <c r="B64" s="2">
        <f t="shared" si="5"/>
        <v>1.8398048898687449E-11</v>
      </c>
      <c r="C64" s="2">
        <f t="shared" si="5"/>
        <v>1.3698630136986338E-3</v>
      </c>
      <c r="D64" s="2">
        <f t="shared" si="5"/>
        <v>8.5254690309295458E-2</v>
      </c>
    </row>
    <row r="65" spans="1:4" x14ac:dyDescent="0.35">
      <c r="A65" s="1">
        <v>5.2</v>
      </c>
      <c r="B65" s="2">
        <f t="shared" si="5"/>
        <v>1.0622118484303666E-11</v>
      </c>
      <c r="C65" s="2">
        <f t="shared" si="5"/>
        <v>1.111499434677074E-3</v>
      </c>
      <c r="D65" s="2">
        <f t="shared" si="5"/>
        <v>7.2508454534383843E-2</v>
      </c>
    </row>
    <row r="66" spans="1:4" x14ac:dyDescent="0.35">
      <c r="A66" s="1">
        <v>5.3</v>
      </c>
      <c r="B66" s="2">
        <f t="shared" si="5"/>
        <v>6.1326829663043609E-12</v>
      </c>
      <c r="C66" s="2">
        <f t="shared" si="5"/>
        <v>9.0182062021008978E-4</v>
      </c>
      <c r="D66" s="2">
        <f t="shared" si="5"/>
        <v>6.1539675899051037E-2</v>
      </c>
    </row>
    <row r="67" spans="1:4" x14ac:dyDescent="0.35">
      <c r="A67" s="1">
        <v>5.4</v>
      </c>
      <c r="B67" s="2">
        <f t="shared" si="5"/>
        <v>3.5407061614596245E-12</v>
      </c>
      <c r="C67" s="2">
        <f t="shared" si="5"/>
        <v>7.3166769316232623E-4</v>
      </c>
      <c r="D67" s="2">
        <f t="shared" si="5"/>
        <v>5.2136934051199901E-2</v>
      </c>
    </row>
    <row r="68" spans="1:4" x14ac:dyDescent="0.35">
      <c r="A68" s="1">
        <v>5.5</v>
      </c>
      <c r="B68" s="2">
        <f t="shared" si="5"/>
        <v>2.0442276554431497E-12</v>
      </c>
      <c r="C68" s="2">
        <f t="shared" si="5"/>
        <v>5.9359965806930011E-4</v>
      </c>
      <c r="D68" s="2">
        <f t="shared" si="5"/>
        <v>4.4103335200589219E-2</v>
      </c>
    </row>
    <row r="69" spans="1:4" x14ac:dyDescent="0.35">
      <c r="A69" s="1">
        <v>5.6</v>
      </c>
      <c r="B69" s="2">
        <f t="shared" si="5"/>
        <v>1.1802353871560011E-12</v>
      </c>
      <c r="C69" s="2">
        <f t="shared" si="5"/>
        <v>4.8157294699609682E-4</v>
      </c>
      <c r="D69" s="2">
        <f t="shared" si="5"/>
        <v>3.7258947040142806E-2</v>
      </c>
    </row>
    <row r="70" spans="1:4" x14ac:dyDescent="0.35">
      <c r="A70" s="1">
        <v>5.7</v>
      </c>
      <c r="B70" s="2">
        <f t="shared" si="5"/>
        <v>6.814092184819776E-13</v>
      </c>
      <c r="C70" s="2">
        <f t="shared" si="5"/>
        <v>3.9068013969402552E-4</v>
      </c>
      <c r="D70" s="2">
        <f t="shared" si="5"/>
        <v>3.1441800471832107E-2</v>
      </c>
    </row>
    <row r="71" spans="1:4" x14ac:dyDescent="0.35">
      <c r="A71" s="1">
        <v>5.8</v>
      </c>
      <c r="B71" s="2">
        <f t="shared" si="5"/>
        <v>3.9341179571897603E-13</v>
      </c>
      <c r="C71" s="2">
        <f t="shared" si="5"/>
        <v>3.1693713873444661E-4</v>
      </c>
      <c r="D71" s="2">
        <f t="shared" si="5"/>
        <v>2.6507863901765245E-2</v>
      </c>
    </row>
    <row r="72" spans="1:4" x14ac:dyDescent="0.35">
      <c r="A72" s="1">
        <v>5.9</v>
      </c>
      <c r="B72" s="2">
        <f t="shared" si="5"/>
        <v>2.2713640616076211E-13</v>
      </c>
      <c r="C72" s="2">
        <f t="shared" si="5"/>
        <v>2.5710995002132598E-4</v>
      </c>
      <c r="D72" s="2">
        <f t="shared" si="5"/>
        <v>2.2330324218060388E-2</v>
      </c>
    </row>
    <row r="73" spans="1:4" x14ac:dyDescent="0.35">
      <c r="A73" s="1">
        <v>6</v>
      </c>
      <c r="B73" s="2">
        <f t="shared" si="5"/>
        <v>1.3113726523969292E-13</v>
      </c>
      <c r="C73" s="2">
        <f t="shared" si="5"/>
        <v>2.0857378810400535E-4</v>
      </c>
      <c r="D73" s="2">
        <f t="shared" si="5"/>
        <v>1.8798435857207637E-2</v>
      </c>
    </row>
    <row r="74" spans="1:4" x14ac:dyDescent="0.35">
      <c r="A74" s="1">
        <v>6.1</v>
      </c>
      <c r="B74" s="2">
        <f t="shared" si="5"/>
        <v>7.5712135386932349E-14</v>
      </c>
      <c r="C74" s="2">
        <f t="shared" si="5"/>
        <v>1.6919853310604535E-4</v>
      </c>
      <c r="D74" s="2">
        <f t="shared" si="5"/>
        <v>1.5816133558400267E-2</v>
      </c>
    </row>
    <row r="75" spans="1:4" x14ac:dyDescent="0.35">
      <c r="A75" s="1">
        <v>6.2</v>
      </c>
      <c r="B75" s="2">
        <f t="shared" si="5"/>
        <v>4.3712421746568233E-14</v>
      </c>
      <c r="C75" s="2">
        <f t="shared" si="5"/>
        <v>1.372556495159368E-4</v>
      </c>
      <c r="D75" s="2">
        <f t="shared" si="5"/>
        <v>1.3300549017225804E-2</v>
      </c>
    </row>
    <row r="76" spans="1:4" x14ac:dyDescent="0.35">
      <c r="A76" s="1">
        <v>6.3</v>
      </c>
      <c r="B76" s="2">
        <f t="shared" si="5"/>
        <v>2.5237378462312117E-14</v>
      </c>
      <c r="C76" s="2">
        <f t="shared" si="5"/>
        <v>1.113425710662635E-4</v>
      </c>
      <c r="D76" s="2">
        <f t="shared" si="5"/>
        <v>1.1180527419552734E-2</v>
      </c>
    </row>
    <row r="77" spans="1:4" x14ac:dyDescent="0.35">
      <c r="A77" s="1">
        <v>6.4</v>
      </c>
      <c r="B77" s="2">
        <f t="shared" si="5"/>
        <v>1.4570807248856432E-14</v>
      </c>
      <c r="C77" s="2">
        <f t="shared" si="5"/>
        <v>9.0321291090103618E-5</v>
      </c>
      <c r="D77" s="2">
        <f t="shared" si="5"/>
        <v>9.3952059674176601E-3</v>
      </c>
    </row>
    <row r="78" spans="1:4" x14ac:dyDescent="0.35">
      <c r="A78" s="1">
        <v>6.5</v>
      </c>
      <c r="B78" s="2">
        <f t="shared" ref="B78:D141" si="6">EXP(B$7+B$8*$A78)/(1+EXP(B$7+B$8*$A78))</f>
        <v>8.4124594874374732E-15</v>
      </c>
      <c r="C78" s="2">
        <f t="shared" si="6"/>
        <v>7.3268500677934879E-5</v>
      </c>
      <c r="D78" s="2">
        <f t="shared" si="6"/>
        <v>7.8926915038287082E-3</v>
      </c>
    </row>
    <row r="79" spans="1:4" x14ac:dyDescent="0.35">
      <c r="A79" s="1">
        <v>6.6</v>
      </c>
      <c r="B79" s="2">
        <f t="shared" si="6"/>
        <v>4.8569357496188693E-15</v>
      </c>
      <c r="C79" s="2">
        <f t="shared" si="6"/>
        <v>5.9435110389254022E-5</v>
      </c>
      <c r="D79" s="2">
        <f t="shared" si="6"/>
        <v>6.6288565130964731E-3</v>
      </c>
    </row>
    <row r="80" spans="1:4" x14ac:dyDescent="0.35">
      <c r="A80" s="1">
        <v>6.7</v>
      </c>
      <c r="B80" s="2">
        <f t="shared" si="6"/>
        <v>2.8041531624791798E-15</v>
      </c>
      <c r="C80" s="2">
        <f t="shared" si="6"/>
        <v>4.8213394396998967E-5</v>
      </c>
      <c r="D80" s="2">
        <f t="shared" si="6"/>
        <v>5.5662605143470181E-3</v>
      </c>
    </row>
    <row r="81" spans="1:4" x14ac:dyDescent="0.35">
      <c r="A81" s="1">
        <v>6.8</v>
      </c>
      <c r="B81" s="2">
        <f t="shared" si="6"/>
        <v>1.6189785832062989E-15</v>
      </c>
      <c r="C81" s="2">
        <f t="shared" si="6"/>
        <v>3.9110324835297566E-5</v>
      </c>
      <c r="D81" s="2">
        <f t="shared" si="6"/>
        <v>4.6731957899761659E-3</v>
      </c>
    </row>
    <row r="82" spans="1:4" x14ac:dyDescent="0.35">
      <c r="A82" s="1">
        <v>6.9</v>
      </c>
      <c r="B82" s="2">
        <f t="shared" si="6"/>
        <v>9.3471772082639071E-16</v>
      </c>
      <c r="C82" s="2">
        <f t="shared" si="6"/>
        <v>3.1725932154940684E-5</v>
      </c>
      <c r="D82" s="2">
        <f t="shared" si="6"/>
        <v>3.9228513640334889E-3</v>
      </c>
    </row>
    <row r="83" spans="1:4" x14ac:dyDescent="0.35">
      <c r="A83" s="1">
        <v>7</v>
      </c>
      <c r="B83" s="2">
        <f t="shared" si="6"/>
        <v>5.3965952773543491E-16</v>
      </c>
      <c r="C83" s="2">
        <f t="shared" si="6"/>
        <v>2.5735745533505997E-5</v>
      </c>
      <c r="D83" s="2">
        <f t="shared" si="6"/>
        <v>3.2925862794569087E-3</v>
      </c>
    </row>
    <row r="84" spans="1:4" x14ac:dyDescent="0.35">
      <c r="A84" s="1">
        <v>7.1</v>
      </c>
      <c r="B84" s="2">
        <f t="shared" si="6"/>
        <v>3.1157257360880009E-16</v>
      </c>
      <c r="C84" s="2">
        <f t="shared" si="6"/>
        <v>2.087654496037453E-5</v>
      </c>
      <c r="D84" s="2">
        <f t="shared" si="6"/>
        <v>2.7633018437590038E-3</v>
      </c>
    </row>
    <row r="85" spans="1:4" x14ac:dyDescent="0.35">
      <c r="A85" s="1">
        <v>7.2</v>
      </c>
      <c r="B85" s="2">
        <f t="shared" si="6"/>
        <v>1.7988650924514414E-16</v>
      </c>
      <c r="C85" s="2">
        <f t="shared" si="6"/>
        <v>1.6934801016088095E-5</v>
      </c>
      <c r="D85" s="2">
        <f t="shared" si="6"/>
        <v>2.3189021224581589E-3</v>
      </c>
    </row>
    <row r="86" spans="1:4" x14ac:dyDescent="0.35">
      <c r="A86" s="1">
        <v>7.3</v>
      </c>
      <c r="B86" s="2">
        <f t="shared" si="6"/>
        <v>1.0385752453626622E-16</v>
      </c>
      <c r="C86" s="2">
        <f t="shared" si="6"/>
        <v>1.3737295733239464E-5</v>
      </c>
      <c r="D86" s="2">
        <f t="shared" si="6"/>
        <v>1.945832199360633E-3</v>
      </c>
    </row>
    <row r="87" spans="1:4" x14ac:dyDescent="0.35">
      <c r="A87" s="1">
        <v>7.4</v>
      </c>
      <c r="B87" s="2">
        <f t="shared" si="6"/>
        <v>5.9962169748381532E-17</v>
      </c>
      <c r="C87" s="2">
        <f t="shared" si="6"/>
        <v>1.1143513286606979E-5</v>
      </c>
      <c r="D87" s="2">
        <f t="shared" si="6"/>
        <v>1.6326843398517588E-3</v>
      </c>
    </row>
    <row r="88" spans="1:4" x14ac:dyDescent="0.35">
      <c r="A88" s="1">
        <v>7.5</v>
      </c>
      <c r="B88" s="2">
        <f t="shared" si="6"/>
        <v>3.4619174845422154E-17</v>
      </c>
      <c r="C88" s="2">
        <f t="shared" si="6"/>
        <v>9.0394667163346631E-6</v>
      </c>
      <c r="D88" s="2">
        <f t="shared" si="6"/>
        <v>1.3698630136986312E-3</v>
      </c>
    </row>
    <row r="89" spans="1:4" x14ac:dyDescent="0.35">
      <c r="A89" s="1">
        <v>7.6</v>
      </c>
      <c r="B89" s="2">
        <f t="shared" si="6"/>
        <v>1.9987389916127225E-17</v>
      </c>
      <c r="C89" s="2">
        <f t="shared" si="6"/>
        <v>7.3326897856945956E-6</v>
      </c>
      <c r="D89" s="2">
        <f t="shared" si="6"/>
        <v>1.1493006410802629E-3</v>
      </c>
    </row>
    <row r="90" spans="1:4" x14ac:dyDescent="0.35">
      <c r="A90" s="1">
        <v>7.7</v>
      </c>
      <c r="B90" s="2">
        <f t="shared" si="6"/>
        <v>1.1539724948473997E-17</v>
      </c>
      <c r="C90" s="2">
        <f t="shared" si="6"/>
        <v>5.9481741404457086E-6</v>
      </c>
      <c r="D90" s="2">
        <f t="shared" si="6"/>
        <v>9.6421684434496021E-4</v>
      </c>
    </row>
    <row r="91" spans="1:4" x14ac:dyDescent="0.35">
      <c r="A91" s="1">
        <v>7.8</v>
      </c>
      <c r="B91" s="2">
        <f t="shared" si="6"/>
        <v>6.6624633053757102E-18</v>
      </c>
      <c r="C91" s="2">
        <f t="shared" si="6"/>
        <v>4.8250733891565873E-6</v>
      </c>
      <c r="D91" s="2">
        <f t="shared" si="6"/>
        <v>8.0891487188531675E-4</v>
      </c>
    </row>
    <row r="92" spans="1:4" x14ac:dyDescent="0.35">
      <c r="A92" s="1">
        <v>7.9</v>
      </c>
      <c r="B92" s="2">
        <f t="shared" si="6"/>
        <v>3.8465749828246745E-18</v>
      </c>
      <c r="C92" s="2">
        <f t="shared" si="6"/>
        <v>3.9140293683451896E-6</v>
      </c>
      <c r="D92" s="2">
        <f t="shared" si="6"/>
        <v>6.7860968288710076E-4</v>
      </c>
    </row>
    <row r="93" spans="1:4" x14ac:dyDescent="0.35">
      <c r="A93" s="1">
        <v>8</v>
      </c>
      <c r="B93" s="2">
        <f t="shared" si="6"/>
        <v>2.2208211017919087E-18</v>
      </c>
      <c r="C93" s="2">
        <f t="shared" si="6"/>
        <v>3.1750031606622588E-6</v>
      </c>
      <c r="D93" s="2">
        <f t="shared" si="6"/>
        <v>5.6928292924424454E-4</v>
      </c>
    </row>
    <row r="94" spans="1:4" x14ac:dyDescent="0.35">
      <c r="A94" s="1">
        <v>8.1</v>
      </c>
      <c r="B94" s="2">
        <f t="shared" si="6"/>
        <v>1.2821916609415612E-18</v>
      </c>
      <c r="C94" s="2">
        <f t="shared" si="6"/>
        <v>2.5755155914501748E-6</v>
      </c>
      <c r="D94" s="2">
        <f t="shared" si="6"/>
        <v>4.7756073904833363E-4</v>
      </c>
    </row>
    <row r="95" spans="1:4" x14ac:dyDescent="0.35">
      <c r="A95" s="1">
        <v>8.1999999999999993</v>
      </c>
      <c r="B95" s="2">
        <f t="shared" si="6"/>
        <v>7.4027370059730465E-19</v>
      </c>
      <c r="C95" s="2">
        <f t="shared" si="6"/>
        <v>2.0892199079203239E-6</v>
      </c>
      <c r="D95" s="2">
        <f t="shared" si="6"/>
        <v>4.0061079565608174E-4</v>
      </c>
    </row>
    <row r="96" spans="1:4" x14ac:dyDescent="0.35">
      <c r="A96" s="1">
        <v>8.3000000000000007</v>
      </c>
      <c r="B96" s="2">
        <f t="shared" si="6"/>
        <v>4.2739722031385169E-19</v>
      </c>
      <c r="C96" s="2">
        <f t="shared" si="6"/>
        <v>1.6947439329664163E-6</v>
      </c>
      <c r="D96" s="2">
        <f t="shared" si="6"/>
        <v>3.3605572158341518E-4</v>
      </c>
    </row>
    <row r="97" spans="1:4" x14ac:dyDescent="0.35">
      <c r="A97" s="1">
        <v>8.4</v>
      </c>
      <c r="B97" s="2">
        <f t="shared" si="6"/>
        <v>2.4675790019910035E-19</v>
      </c>
      <c r="C97" s="2">
        <f t="shared" si="6"/>
        <v>1.3747508213524165E-6</v>
      </c>
      <c r="D97" s="2">
        <f t="shared" si="6"/>
        <v>2.8190022331811587E-4</v>
      </c>
    </row>
    <row r="98" spans="1:4" x14ac:dyDescent="0.35">
      <c r="A98" s="1">
        <v>8.5</v>
      </c>
      <c r="B98" s="2">
        <f t="shared" si="6"/>
        <v>1.4246574010461757E-19</v>
      </c>
      <c r="C98" s="2">
        <f t="shared" si="6"/>
        <v>1.1151771485097733E-6</v>
      </c>
      <c r="D98" s="2">
        <f t="shared" si="6"/>
        <v>2.3646983832394301E-4</v>
      </c>
    </row>
    <row r="99" spans="1:4" x14ac:dyDescent="0.35">
      <c r="A99" s="1">
        <v>8.6</v>
      </c>
      <c r="B99" s="2">
        <f t="shared" si="6"/>
        <v>8.225263339970032E-20</v>
      </c>
      <c r="C99" s="2">
        <f t="shared" si="6"/>
        <v>9.0461485259074425E-7</v>
      </c>
      <c r="D99" s="2">
        <f t="shared" si="6"/>
        <v>1.9835945592843357E-4</v>
      </c>
    </row>
    <row r="100" spans="1:4" x14ac:dyDescent="0.35">
      <c r="A100" s="1">
        <v>8.6999999999999993</v>
      </c>
      <c r="B100" s="2">
        <f t="shared" si="6"/>
        <v>4.7488580034872639E-20</v>
      </c>
      <c r="C100" s="2">
        <f t="shared" si="6"/>
        <v>7.3380987055440803E-7</v>
      </c>
      <c r="D100" s="2">
        <f t="shared" si="6"/>
        <v>1.6639006611923098E-4</v>
      </c>
    </row>
    <row r="101" spans="1:4" x14ac:dyDescent="0.35">
      <c r="A101" s="1">
        <v>8.8000000000000007</v>
      </c>
      <c r="B101" s="2">
        <f t="shared" si="6"/>
        <v>2.7417544466566639E-20</v>
      </c>
      <c r="C101" s="2">
        <f t="shared" si="6"/>
        <v>5.9525543629392918E-7</v>
      </c>
      <c r="D101" s="2">
        <f t="shared" si="6"/>
        <v>1.3957243074904938E-4</v>
      </c>
    </row>
    <row r="102" spans="1:4" x14ac:dyDescent="0.35">
      <c r="A102" s="1">
        <v>8.9</v>
      </c>
      <c r="B102" s="2">
        <f t="shared" si="6"/>
        <v>1.5829526678290802E-20</v>
      </c>
      <c r="C102" s="2">
        <f t="shared" si="6"/>
        <v>4.8286216823453755E-7</v>
      </c>
      <c r="D102" s="2">
        <f t="shared" si="6"/>
        <v>1.1707657593839202E-4</v>
      </c>
    </row>
    <row r="103" spans="1:4" x14ac:dyDescent="0.35">
      <c r="A103" s="1">
        <v>9</v>
      </c>
      <c r="B103" s="2">
        <f t="shared" si="6"/>
        <v>9.1391814888555679E-21</v>
      </c>
      <c r="C103" s="2">
        <f t="shared" si="6"/>
        <v>3.9169044808033681E-7</v>
      </c>
      <c r="D103" s="2">
        <f t="shared" si="6"/>
        <v>9.8206177641235842E-5</v>
      </c>
    </row>
    <row r="104" spans="1:4" x14ac:dyDescent="0.35">
      <c r="A104" s="1">
        <v>9.1</v>
      </c>
      <c r="B104" s="2">
        <f t="shared" si="6"/>
        <v>5.2765088927636507E-21</v>
      </c>
      <c r="C104" s="2">
        <f t="shared" si="6"/>
        <v>3.1773332965229142E-7</v>
      </c>
      <c r="D104" s="2">
        <f t="shared" si="6"/>
        <v>8.2377058880986662E-5</v>
      </c>
    </row>
    <row r="105" spans="1:4" x14ac:dyDescent="0.35">
      <c r="A105" s="1">
        <v>9.1999999999999993</v>
      </c>
      <c r="B105" s="2">
        <f t="shared" si="6"/>
        <v>3.0463938296185517E-21</v>
      </c>
      <c r="C105" s="2">
        <f t="shared" si="6"/>
        <v>2.5774043726865087E-7</v>
      </c>
      <c r="D105" s="2">
        <f t="shared" si="6"/>
        <v>6.9099140987051335E-5</v>
      </c>
    </row>
    <row r="106" spans="1:4" x14ac:dyDescent="0.35">
      <c r="A106" s="1">
        <v>9.3000000000000007</v>
      </c>
      <c r="B106" s="2">
        <f t="shared" si="6"/>
        <v>1.7588362975878754E-21</v>
      </c>
      <c r="C106" s="2">
        <f t="shared" si="6"/>
        <v>2.0907511441635658E-7</v>
      </c>
      <c r="D106" s="2">
        <f t="shared" si="6"/>
        <v>5.7961295661797958E-5</v>
      </c>
    </row>
    <row r="107" spans="1:4" x14ac:dyDescent="0.35">
      <c r="A107" s="1">
        <v>9.4</v>
      </c>
      <c r="B107" s="2">
        <f t="shared" si="6"/>
        <v>1.0154646098728457E-21</v>
      </c>
      <c r="C107" s="2">
        <f t="shared" si="6"/>
        <v>1.6959854468232821E-7</v>
      </c>
      <c r="D107" s="2">
        <f t="shared" si="6"/>
        <v>4.8618632810326934E-5</v>
      </c>
    </row>
    <row r="108" spans="1:4" x14ac:dyDescent="0.35">
      <c r="A108" s="1">
        <v>9.5</v>
      </c>
      <c r="B108" s="2">
        <f t="shared" si="6"/>
        <v>5.8627876586262652E-22</v>
      </c>
      <c r="C108" s="2">
        <f t="shared" si="6"/>
        <v>1.3757575225660319E-7</v>
      </c>
      <c r="D108" s="2">
        <f t="shared" si="6"/>
        <v>4.0781833281902722E-5</v>
      </c>
    </row>
    <row r="109" spans="1:4" x14ac:dyDescent="0.35">
      <c r="A109" s="1">
        <v>9.6</v>
      </c>
      <c r="B109" s="2">
        <f t="shared" si="6"/>
        <v>3.3848820329094938E-22</v>
      </c>
      <c r="C109" s="2">
        <f t="shared" si="6"/>
        <v>1.1159935086696423E-7</v>
      </c>
      <c r="D109" s="2">
        <f t="shared" si="6"/>
        <v>3.4208198147159815E-5</v>
      </c>
    </row>
    <row r="110" spans="1:4" x14ac:dyDescent="0.35">
      <c r="A110" s="1">
        <v>9.6999999999999993</v>
      </c>
      <c r="B110" s="2">
        <f t="shared" si="6"/>
        <v>1.9542625528754262E-22</v>
      </c>
      <c r="C110" s="2">
        <f t="shared" si="6"/>
        <v>9.0527690007556039E-8</v>
      </c>
      <c r="D110" s="2">
        <f t="shared" si="6"/>
        <v>2.8694138696149766E-5</v>
      </c>
    </row>
    <row r="111" spans="1:4" x14ac:dyDescent="0.35">
      <c r="A111" s="1">
        <v>9.8000000000000007</v>
      </c>
      <c r="B111" s="2">
        <f t="shared" si="6"/>
        <v>1.1282940109698259E-22</v>
      </c>
      <c r="C111" s="2">
        <f t="shared" si="6"/>
        <v>7.3434680057122154E-8</v>
      </c>
      <c r="D111" s="2">
        <f t="shared" si="6"/>
        <v>2.4068875540777788E-5</v>
      </c>
    </row>
    <row r="112" spans="1:4" x14ac:dyDescent="0.35">
      <c r="A112" s="1">
        <v>9.9</v>
      </c>
      <c r="B112" s="2">
        <f t="shared" si="6"/>
        <v>6.514208509584723E-23</v>
      </c>
      <c r="C112" s="2">
        <f t="shared" si="6"/>
        <v>5.9569091150314852E-8</v>
      </c>
      <c r="D112" s="2">
        <f t="shared" si="6"/>
        <v>2.0189152356577261E-5</v>
      </c>
    </row>
    <row r="113" spans="1:4" x14ac:dyDescent="0.35">
      <c r="A113" s="1">
        <v>10</v>
      </c>
      <c r="B113" s="2">
        <f t="shared" si="6"/>
        <v>3.7609800365660953E-23</v>
      </c>
      <c r="C113" s="2">
        <f t="shared" si="6"/>
        <v>4.8321537023437046E-8</v>
      </c>
      <c r="D113" s="2">
        <f t="shared" si="6"/>
        <v>1.6934801016088095E-5</v>
      </c>
    </row>
    <row r="114" spans="1:4" x14ac:dyDescent="0.35">
      <c r="A114" s="1">
        <v>10.1</v>
      </c>
      <c r="B114" s="2">
        <f t="shared" si="6"/>
        <v>2.1714028365282461E-23</v>
      </c>
      <c r="C114" s="2">
        <f t="shared" si="6"/>
        <v>3.9197692801063568E-8</v>
      </c>
      <c r="D114" s="2">
        <f t="shared" si="6"/>
        <v>1.4205021089726677E-5</v>
      </c>
    </row>
    <row r="115" spans="1:4" x14ac:dyDescent="0.35">
      <c r="A115" s="1">
        <v>10.199999999999999</v>
      </c>
      <c r="B115" s="2">
        <f t="shared" si="6"/>
        <v>1.2536600121887013E-23</v>
      </c>
      <c r="C115" s="2">
        <f t="shared" si="6"/>
        <v>3.1796569664877223E-8</v>
      </c>
      <c r="D115" s="2">
        <f t="shared" si="6"/>
        <v>1.1915258713548989E-5</v>
      </c>
    </row>
    <row r="116" spans="1:4" x14ac:dyDescent="0.35">
      <c r="A116" s="1">
        <v>10.3</v>
      </c>
      <c r="B116" s="2">
        <f t="shared" si="6"/>
        <v>7.2380094550941194E-24</v>
      </c>
      <c r="C116" s="2">
        <f t="shared" si="6"/>
        <v>2.5792891591137392E-8</v>
      </c>
      <c r="D116" s="2">
        <f t="shared" si="6"/>
        <v>9.9945883157466012E-6</v>
      </c>
    </row>
    <row r="117" spans="1:4" x14ac:dyDescent="0.35">
      <c r="A117" s="1">
        <v>10.4</v>
      </c>
      <c r="B117" s="2">
        <f t="shared" si="6"/>
        <v>4.1788667072956512E-24</v>
      </c>
      <c r="C117" s="2">
        <f t="shared" si="6"/>
        <v>2.0922799625548546E-8</v>
      </c>
      <c r="D117" s="2">
        <f t="shared" si="6"/>
        <v>8.3835162186384016E-6</v>
      </c>
    </row>
    <row r="118" spans="1:4" x14ac:dyDescent="0.35">
      <c r="A118" s="1">
        <v>10.5</v>
      </c>
      <c r="B118" s="2">
        <f t="shared" si="6"/>
        <v>2.412669818364712E-24</v>
      </c>
      <c r="C118" s="2">
        <f t="shared" si="6"/>
        <v>1.6972255406940492E-8</v>
      </c>
      <c r="D118" s="2">
        <f t="shared" si="6"/>
        <v>7.0321381647074673E-6</v>
      </c>
    </row>
    <row r="119" spans="1:4" x14ac:dyDescent="0.35">
      <c r="A119" s="1">
        <v>10.6</v>
      </c>
      <c r="B119" s="2">
        <f t="shared" si="6"/>
        <v>1.3929555690985537E-24</v>
      </c>
      <c r="C119" s="2">
        <f t="shared" si="6"/>
        <v>1.3767634281208187E-8</v>
      </c>
      <c r="D119" s="2">
        <f t="shared" si="6"/>
        <v>5.8985937529839016E-6</v>
      </c>
    </row>
    <row r="120" spans="1:4" x14ac:dyDescent="0.35">
      <c r="A120" s="1">
        <v>10.7</v>
      </c>
      <c r="B120" s="2">
        <f t="shared" si="6"/>
        <v>8.0422327278823928E-25</v>
      </c>
      <c r="C120" s="2">
        <f t="shared" si="6"/>
        <v>1.1168094577983723E-8</v>
      </c>
      <c r="D120" s="2">
        <f t="shared" si="6"/>
        <v>4.9477699513658948E-6</v>
      </c>
    </row>
    <row r="121" spans="1:4" x14ac:dyDescent="0.35">
      <c r="A121" s="1">
        <v>10.8</v>
      </c>
      <c r="B121" s="2">
        <f t="shared" si="6"/>
        <v>4.6431852303284905E-25</v>
      </c>
      <c r="C121" s="2">
        <f t="shared" si="6"/>
        <v>9.0593876837512708E-9</v>
      </c>
      <c r="D121" s="2">
        <f t="shared" si="6"/>
        <v>4.150213553385782E-6</v>
      </c>
    </row>
    <row r="122" spans="1:4" x14ac:dyDescent="0.35">
      <c r="A122" s="1">
        <v>10.9</v>
      </c>
      <c r="B122" s="2">
        <f t="shared" si="6"/>
        <v>2.6807442426274513E-25</v>
      </c>
      <c r="C122" s="2">
        <f t="shared" si="6"/>
        <v>7.3488368672683749E-9</v>
      </c>
      <c r="D122" s="2">
        <f t="shared" si="6"/>
        <v>3.4812189114716126E-6</v>
      </c>
    </row>
    <row r="123" spans="1:4" x14ac:dyDescent="0.35">
      <c r="A123" s="1">
        <v>11</v>
      </c>
      <c r="B123" s="2">
        <f t="shared" si="6"/>
        <v>1.5477284101095114E-25</v>
      </c>
      <c r="C123" s="2">
        <f t="shared" si="6"/>
        <v>5.9612641791611666E-9</v>
      </c>
      <c r="D123" s="2">
        <f t="shared" si="6"/>
        <v>2.9200627020289772E-6</v>
      </c>
    </row>
    <row r="124" spans="1:4" x14ac:dyDescent="0.35">
      <c r="A124" s="1">
        <v>11.1</v>
      </c>
      <c r="B124" s="2">
        <f t="shared" si="6"/>
        <v>8.9358141420915892E-26</v>
      </c>
      <c r="C124" s="2">
        <f t="shared" si="6"/>
        <v>4.8356864149100252E-9</v>
      </c>
      <c r="D124" s="2">
        <f t="shared" si="6"/>
        <v>2.4493620278761944E-6</v>
      </c>
    </row>
    <row r="125" spans="1:4" x14ac:dyDescent="0.35">
      <c r="A125" s="1">
        <v>11.2</v>
      </c>
      <c r="B125" s="2">
        <f t="shared" si="6"/>
        <v>5.1590947003650501E-26</v>
      </c>
      <c r="C125" s="2">
        <f t="shared" si="6"/>
        <v>3.9226349303758125E-9</v>
      </c>
      <c r="D125" s="2">
        <f t="shared" si="6"/>
        <v>2.0545359811043286E-6</v>
      </c>
    </row>
    <row r="126" spans="1:4" x14ac:dyDescent="0.35">
      <c r="A126" s="1">
        <v>11.3</v>
      </c>
      <c r="B126" s="2">
        <f t="shared" si="6"/>
        <v>2.9786047140305158E-26</v>
      </c>
      <c r="C126" s="2">
        <f t="shared" si="6"/>
        <v>3.1819815170206807E-9</v>
      </c>
      <c r="D126" s="2">
        <f t="shared" si="6"/>
        <v>1.7233539921667584E-6</v>
      </c>
    </row>
    <row r="127" spans="1:4" x14ac:dyDescent="0.35">
      <c r="A127" s="1">
        <v>11.4</v>
      </c>
      <c r="B127" s="2">
        <f t="shared" si="6"/>
        <v>1.7196982334550084E-26</v>
      </c>
      <c r="C127" s="2">
        <f t="shared" si="6"/>
        <v>2.5811747850507424E-9</v>
      </c>
      <c r="D127" s="2">
        <f t="shared" si="6"/>
        <v>1.445556977867848E-6</v>
      </c>
    </row>
    <row r="128" spans="1:4" x14ac:dyDescent="0.35">
      <c r="A128" s="1">
        <v>11.5</v>
      </c>
      <c r="B128" s="2">
        <f t="shared" si="6"/>
        <v>9.9286823801017426E-27</v>
      </c>
      <c r="C128" s="2">
        <f t="shared" si="6"/>
        <v>2.0938095443320088E-9</v>
      </c>
      <c r="D128" s="2">
        <f t="shared" si="6"/>
        <v>1.2125395549534634E-6</v>
      </c>
    </row>
    <row r="129" spans="1:4" x14ac:dyDescent="0.35">
      <c r="A129" s="1">
        <v>11.6</v>
      </c>
      <c r="B129" s="2">
        <f t="shared" si="6"/>
        <v>5.7323274448500416E-27</v>
      </c>
      <c r="C129" s="2">
        <f t="shared" si="6"/>
        <v>1.6984663080250115E-9</v>
      </c>
      <c r="D129" s="2">
        <f t="shared" si="6"/>
        <v>1.0170834768965915E-6</v>
      </c>
    </row>
    <row r="130" spans="1:4" x14ac:dyDescent="0.35">
      <c r="A130" s="1">
        <v>11.7</v>
      </c>
      <c r="B130" s="2">
        <f t="shared" si="6"/>
        <v>3.3095607933672315E-27</v>
      </c>
      <c r="C130" s="2">
        <f t="shared" si="6"/>
        <v>1.3777699156496637E-9</v>
      </c>
      <c r="D130" s="2">
        <f t="shared" si="6"/>
        <v>8.5313403769609109E-7</v>
      </c>
    </row>
    <row r="131" spans="1:4" x14ac:dyDescent="0.35">
      <c r="A131" s="1">
        <v>11.8</v>
      </c>
      <c r="B131" s="2">
        <f t="shared" si="6"/>
        <v>1.9107758149500049E-27</v>
      </c>
      <c r="C131" s="2">
        <f t="shared" si="6"/>
        <v>1.1176259024894223E-9</v>
      </c>
      <c r="D131" s="2">
        <f t="shared" si="6"/>
        <v>7.1561251713694676E-7</v>
      </c>
    </row>
    <row r="132" spans="1:4" x14ac:dyDescent="0.35">
      <c r="A132" s="1">
        <v>11.9</v>
      </c>
      <c r="B132" s="2">
        <f t="shared" si="6"/>
        <v>1.1031869311224131E-27</v>
      </c>
      <c r="C132" s="2">
        <f t="shared" si="6"/>
        <v>9.0660105411356792E-10</v>
      </c>
      <c r="D132" s="2">
        <f t="shared" si="6"/>
        <v>6.0025885816701673E-7</v>
      </c>
    </row>
    <row r="133" spans="1:4" x14ac:dyDescent="0.35">
      <c r="A133" s="1">
        <v>12</v>
      </c>
      <c r="B133" s="2">
        <f t="shared" si="6"/>
        <v>6.3692527165000312E-28</v>
      </c>
      <c r="C133" s="2">
        <f t="shared" si="6"/>
        <v>7.3542092166645998E-10</v>
      </c>
      <c r="D133" s="2">
        <f t="shared" si="6"/>
        <v>5.0349970337258651E-7</v>
      </c>
    </row>
    <row r="134" spans="1:4" x14ac:dyDescent="0.35">
      <c r="A134" s="1">
        <v>12.1</v>
      </c>
      <c r="B134" s="2">
        <f t="shared" si="6"/>
        <v>3.6772897704080523E-28</v>
      </c>
      <c r="C134" s="2">
        <f t="shared" si="6"/>
        <v>5.9656221394544749E-10</v>
      </c>
      <c r="D134" s="2">
        <f t="shared" si="6"/>
        <v>4.2233770296427182E-7</v>
      </c>
    </row>
    <row r="135" spans="1:4" x14ac:dyDescent="0.35">
      <c r="A135" s="1">
        <v>12.2</v>
      </c>
      <c r="B135" s="2">
        <f t="shared" si="6"/>
        <v>2.1230842388333485E-28</v>
      </c>
      <c r="C135" s="2">
        <f t="shared" si="6"/>
        <v>4.8392215208091436E-10</v>
      </c>
      <c r="D135" s="2">
        <f t="shared" si="6"/>
        <v>3.5425866553003057E-7</v>
      </c>
    </row>
    <row r="136" spans="1:4" x14ac:dyDescent="0.35">
      <c r="A136" s="1">
        <v>12.3</v>
      </c>
      <c r="B136" s="2">
        <f t="shared" si="6"/>
        <v>1.2257632568026784E-28</v>
      </c>
      <c r="C136" s="2">
        <f t="shared" si="6"/>
        <v>3.9255025510391596E-10</v>
      </c>
      <c r="D136" s="2">
        <f t="shared" si="6"/>
        <v>2.9715367547116486E-7</v>
      </c>
    </row>
    <row r="137" spans="1:4" x14ac:dyDescent="0.35">
      <c r="A137" s="1">
        <v>12.4</v>
      </c>
      <c r="B137" s="2">
        <f t="shared" si="6"/>
        <v>7.0769474627777956E-29</v>
      </c>
      <c r="C137" s="2">
        <f t="shared" si="6"/>
        <v>3.1843076849626399E-10</v>
      </c>
      <c r="D137" s="2">
        <f t="shared" si="6"/>
        <v>2.4925376462167399E-7</v>
      </c>
    </row>
    <row r="138" spans="1:4" x14ac:dyDescent="0.35">
      <c r="A138" s="1">
        <v>12.5</v>
      </c>
      <c r="B138" s="2">
        <f t="shared" si="6"/>
        <v>4.0858775226756041E-29</v>
      </c>
      <c r="C138" s="2">
        <f t="shared" si="6"/>
        <v>2.5830617355441552E-10</v>
      </c>
      <c r="D138" s="2">
        <f t="shared" si="6"/>
        <v>2.0907511441635658E-7</v>
      </c>
    </row>
    <row r="139" spans="1:4" x14ac:dyDescent="0.35">
      <c r="A139" s="1">
        <v>12.6</v>
      </c>
      <c r="B139" s="2">
        <f t="shared" si="6"/>
        <v>2.3589824875926039E-29</v>
      </c>
      <c r="C139" s="2">
        <f t="shared" si="6"/>
        <v>2.0953402088199657E-10</v>
      </c>
      <c r="D139" s="2">
        <f t="shared" si="6"/>
        <v>1.753730911605357E-7</v>
      </c>
    </row>
    <row r="140" spans="1:4" x14ac:dyDescent="0.35">
      <c r="A140" s="1">
        <v>12.7</v>
      </c>
      <c r="B140" s="2">
        <f t="shared" si="6"/>
        <v>1.3619591742252045E-29</v>
      </c>
      <c r="C140" s="2">
        <f t="shared" si="6"/>
        <v>1.6997079590636887E-10</v>
      </c>
      <c r="D140" s="2">
        <f t="shared" si="6"/>
        <v>1.4710369056582077E-7</v>
      </c>
    </row>
    <row r="141" spans="1:4" x14ac:dyDescent="0.35">
      <c r="A141" s="1">
        <v>12.8</v>
      </c>
      <c r="B141" s="2">
        <f t="shared" si="6"/>
        <v>7.8632749586419197E-30</v>
      </c>
      <c r="C141" s="2">
        <f t="shared" si="6"/>
        <v>1.378777123601261E-10</v>
      </c>
      <c r="D141" s="2">
        <f t="shared" si="6"/>
        <v>1.2339119722572882E-7</v>
      </c>
    </row>
    <row r="142" spans="1:4" x14ac:dyDescent="0.35">
      <c r="A142" s="1">
        <v>12.9</v>
      </c>
      <c r="B142" s="2">
        <f t="shared" ref="B142:D205" si="7">EXP(B$7+B$8*$A142)/(1+EXP(B$7+B$8*$A142))</f>
        <v>4.5398639140839614E-30</v>
      </c>
      <c r="C142" s="2">
        <f t="shared" si="7"/>
        <v>1.1184429339272291E-10</v>
      </c>
      <c r="D142" s="2">
        <f t="shared" si="7"/>
        <v>1.0350105722051529E-7</v>
      </c>
    </row>
    <row r="143" spans="1:4" x14ac:dyDescent="0.35">
      <c r="A143" s="1">
        <v>13</v>
      </c>
      <c r="B143" s="2">
        <f t="shared" si="7"/>
        <v>2.6210916528806462E-30</v>
      </c>
      <c r="C143" s="2">
        <f t="shared" si="7"/>
        <v>9.0726381735889643E-11</v>
      </c>
      <c r="D143" s="2">
        <f t="shared" si="7"/>
        <v>8.6817123524791345E-8</v>
      </c>
    </row>
    <row r="144" spans="1:4" x14ac:dyDescent="0.35">
      <c r="A144" s="1">
        <v>13.1</v>
      </c>
      <c r="B144" s="2">
        <f t="shared" si="7"/>
        <v>1.5132879713613239E-30</v>
      </c>
      <c r="C144" s="2">
        <f t="shared" si="7"/>
        <v>7.3595854497026264E-11</v>
      </c>
      <c r="D144" s="2">
        <f t="shared" si="7"/>
        <v>7.2822569346223752E-8</v>
      </c>
    </row>
    <row r="145" spans="1:4" x14ac:dyDescent="0.35">
      <c r="A145" s="1">
        <v>13.2</v>
      </c>
      <c r="B145" s="2">
        <f t="shared" si="7"/>
        <v>8.7369721762688411E-31</v>
      </c>
      <c r="C145" s="2">
        <f t="shared" si="7"/>
        <v>5.9699832567965555E-11</v>
      </c>
      <c r="D145" s="2">
        <f t="shared" si="7"/>
        <v>6.1083878144247303E-8</v>
      </c>
    </row>
    <row r="146" spans="1:4" x14ac:dyDescent="0.35">
      <c r="A146" s="1">
        <v>13.3</v>
      </c>
      <c r="B146" s="2">
        <f t="shared" si="7"/>
        <v>5.0442932378710917E-31</v>
      </c>
      <c r="C146" s="2">
        <f t="shared" si="7"/>
        <v>4.8427591920653198E-11</v>
      </c>
      <c r="D146" s="2">
        <f t="shared" si="7"/>
        <v>5.123741438373711E-8</v>
      </c>
    </row>
    <row r="147" spans="1:4" x14ac:dyDescent="0.35">
      <c r="A147" s="1">
        <v>13.4</v>
      </c>
      <c r="B147" s="2">
        <f t="shared" si="7"/>
        <v>2.9123240587562874E-31</v>
      </c>
      <c r="C147" s="2">
        <f t="shared" si="7"/>
        <v>3.9283722555811045E-11</v>
      </c>
      <c r="D147" s="2">
        <f t="shared" si="7"/>
        <v>4.2978159022000222E-8</v>
      </c>
    </row>
    <row r="148" spans="1:4" x14ac:dyDescent="0.35">
      <c r="A148" s="1">
        <v>13.5</v>
      </c>
      <c r="B148" s="2">
        <f t="shared" si="7"/>
        <v>1.6814310792903678E-31</v>
      </c>
      <c r="C148" s="2">
        <f t="shared" si="7"/>
        <v>3.1866355452234063E-11</v>
      </c>
      <c r="D148" s="2">
        <f t="shared" si="7"/>
        <v>3.6050260784576998E-8</v>
      </c>
    </row>
    <row r="149" spans="1:4" x14ac:dyDescent="0.35">
      <c r="A149" s="1">
        <v>13.6</v>
      </c>
      <c r="B149" s="2">
        <f t="shared" si="7"/>
        <v>9.7077468625209806E-32</v>
      </c>
      <c r="C149" s="2">
        <f t="shared" si="7"/>
        <v>2.5849500600764544E-11</v>
      </c>
      <c r="D149" s="2">
        <f t="shared" si="7"/>
        <v>3.0239110533315051E-8</v>
      </c>
    </row>
    <row r="150" spans="1:4" x14ac:dyDescent="0.35">
      <c r="A150" s="1">
        <v>13.7</v>
      </c>
      <c r="B150" s="2">
        <f t="shared" si="7"/>
        <v>5.6047702643012396E-32</v>
      </c>
      <c r="C150" s="2">
        <f t="shared" si="7"/>
        <v>2.0968719887335584E-11</v>
      </c>
      <c r="D150" s="2">
        <f t="shared" si="7"/>
        <v>2.5364693211337206E-8</v>
      </c>
    </row>
    <row r="151" spans="1:4" x14ac:dyDescent="0.35">
      <c r="A151" s="1">
        <v>13.8</v>
      </c>
      <c r="B151" s="2">
        <f t="shared" si="7"/>
        <v>3.2359156208402882E-32</v>
      </c>
      <c r="C151" s="2">
        <f t="shared" si="7"/>
        <v>1.7009505154623108E-11</v>
      </c>
      <c r="D151" s="2">
        <f t="shared" si="7"/>
        <v>2.1276011425366673E-8</v>
      </c>
    </row>
    <row r="152" spans="1:4" x14ac:dyDescent="0.35">
      <c r="A152" s="1">
        <v>13.9</v>
      </c>
      <c r="B152" s="2">
        <f t="shared" si="7"/>
        <v>1.8682567547670577E-32</v>
      </c>
      <c r="C152" s="2">
        <f t="shared" si="7"/>
        <v>1.3797850663248E-11</v>
      </c>
      <c r="D152" s="2">
        <f t="shared" si="7"/>
        <v>1.7846407922318659E-8</v>
      </c>
    </row>
    <row r="153" spans="1:4" x14ac:dyDescent="0.35">
      <c r="A153" s="1">
        <v>14</v>
      </c>
      <c r="B153" s="2">
        <f t="shared" si="7"/>
        <v>1.0786385402801139E-32</v>
      </c>
      <c r="C153" s="2">
        <f t="shared" si="7"/>
        <v>1.1192605616362284E-11</v>
      </c>
      <c r="D153" s="2">
        <f t="shared" si="7"/>
        <v>1.4969642062421133E-8</v>
      </c>
    </row>
    <row r="154" spans="1:4" x14ac:dyDescent="0.35">
      <c r="A154" s="1">
        <v>14.1</v>
      </c>
      <c r="B154" s="2">
        <f t="shared" si="7"/>
        <v>6.227522515890295E-33</v>
      </c>
      <c r="C154" s="2">
        <f t="shared" si="7"/>
        <v>9.0792706444522046E-12</v>
      </c>
      <c r="D154" s="2">
        <f t="shared" si="7"/>
        <v>1.2556598747966904E-8</v>
      </c>
    </row>
    <row r="155" spans="1:4" x14ac:dyDescent="0.35">
      <c r="A155" s="1">
        <v>14.2</v>
      </c>
      <c r="B155" s="2">
        <f t="shared" si="7"/>
        <v>3.5954618009337216E-33</v>
      </c>
      <c r="C155" s="2">
        <f t="shared" si="7"/>
        <v>7.3649656086042162E-12</v>
      </c>
      <c r="D155" s="2">
        <f t="shared" si="7"/>
        <v>1.0532527858626352E-8</v>
      </c>
    </row>
    <row r="156" spans="1:4" x14ac:dyDescent="0.35">
      <c r="A156" s="1">
        <v>14.3</v>
      </c>
      <c r="B156" s="2">
        <f t="shared" si="7"/>
        <v>2.0758408386300738E-33</v>
      </c>
      <c r="C156" s="2">
        <f t="shared" si="7"/>
        <v>5.9743475594099183E-12</v>
      </c>
      <c r="D156" s="2">
        <f t="shared" si="7"/>
        <v>8.8347286779795378E-9</v>
      </c>
    </row>
    <row r="157" spans="1:4" x14ac:dyDescent="0.35">
      <c r="A157" s="1">
        <v>14.4</v>
      </c>
      <c r="B157" s="2">
        <f t="shared" si="7"/>
        <v>1.1984872669778931E-33</v>
      </c>
      <c r="C157" s="2">
        <f t="shared" si="7"/>
        <v>4.8462994476062986E-12</v>
      </c>
      <c r="D157" s="2">
        <f t="shared" si="7"/>
        <v>7.4106075806128832E-9</v>
      </c>
    </row>
    <row r="158" spans="1:4" x14ac:dyDescent="0.35">
      <c r="A158" s="1">
        <v>14.5</v>
      </c>
      <c r="B158" s="2">
        <f t="shared" si="7"/>
        <v>6.9194694621002628E-34</v>
      </c>
      <c r="C158" s="2">
        <f t="shared" si="7"/>
        <v>3.9312440567458159E-12</v>
      </c>
      <c r="D158" s="2">
        <f t="shared" si="7"/>
        <v>6.2160488117887207E-9</v>
      </c>
    </row>
    <row r="159" spans="1:4" x14ac:dyDescent="0.35">
      <c r="A159" s="1">
        <v>14.6</v>
      </c>
      <c r="B159" s="2">
        <f t="shared" si="7"/>
        <v>3.9949575565929861E-34</v>
      </c>
      <c r="C159" s="2">
        <f t="shared" si="7"/>
        <v>3.1889651064236357E-12</v>
      </c>
      <c r="D159" s="2">
        <f t="shared" si="7"/>
        <v>5.2140478905110315E-9</v>
      </c>
    </row>
    <row r="160" spans="1:4" x14ac:dyDescent="0.35">
      <c r="A160" s="1">
        <v>14.7</v>
      </c>
      <c r="B160" s="2">
        <f t="shared" si="7"/>
        <v>2.3064898207000927E-34</v>
      </c>
      <c r="C160" s="2">
        <f t="shared" si="7"/>
        <v>2.5868397645106113E-12</v>
      </c>
      <c r="D160" s="2">
        <f t="shared" si="7"/>
        <v>4.3735653022210209E-9</v>
      </c>
    </row>
    <row r="161" spans="1:4" x14ac:dyDescent="0.35">
      <c r="A161" s="1">
        <v>14.8</v>
      </c>
      <c r="B161" s="2">
        <f t="shared" si="7"/>
        <v>1.3316525188643319E-34</v>
      </c>
      <c r="C161" s="2">
        <f t="shared" si="7"/>
        <v>2.0984048880852105E-12</v>
      </c>
      <c r="D161" s="2">
        <f t="shared" si="7"/>
        <v>3.6685649713749342E-9</v>
      </c>
    </row>
    <row r="162" spans="1:4" x14ac:dyDescent="0.35">
      <c r="A162" s="1">
        <v>14.9</v>
      </c>
      <c r="B162" s="2">
        <f t="shared" si="7"/>
        <v>7.6882994023336614E-35</v>
      </c>
      <c r="C162" s="2">
        <f t="shared" si="7"/>
        <v>1.7021939799864442E-12</v>
      </c>
      <c r="D162" s="2">
        <f t="shared" si="7"/>
        <v>3.0772077281743627E-9</v>
      </c>
    </row>
    <row r="163" spans="1:4" x14ac:dyDescent="0.35">
      <c r="A163" s="1">
        <v>15</v>
      </c>
      <c r="B163" s="2">
        <f t="shared" si="7"/>
        <v>4.4388417295477836E-35</v>
      </c>
      <c r="C163" s="2">
        <f t="shared" si="7"/>
        <v>1.3807937457417018E-12</v>
      </c>
      <c r="D163" s="2">
        <f t="shared" si="7"/>
        <v>2.5811747850507424E-9</v>
      </c>
    </row>
    <row r="164" spans="1:4" x14ac:dyDescent="0.35">
      <c r="A164" s="1">
        <v>15.1</v>
      </c>
      <c r="B164" s="2">
        <f t="shared" si="7"/>
        <v>2.5627664674445595E-35</v>
      </c>
      <c r="C164" s="2">
        <f t="shared" si="7"/>
        <v>1.1200787869632039E-12</v>
      </c>
      <c r="D164" s="2">
        <f t="shared" si="7"/>
        <v>2.1651002658834762E-9</v>
      </c>
    </row>
    <row r="165" spans="1:4" x14ac:dyDescent="0.35">
      <c r="A165" s="1">
        <v>15.2</v>
      </c>
      <c r="B165" s="2">
        <f t="shared" si="7"/>
        <v>1.4796139098492647E-35</v>
      </c>
      <c r="C165" s="2">
        <f t="shared" si="7"/>
        <v>9.085907963256283E-13</v>
      </c>
      <c r="D165" s="2">
        <f t="shared" si="7"/>
        <v>1.81609520911315E-9</v>
      </c>
    </row>
    <row r="166" spans="1:4" x14ac:dyDescent="0.35">
      <c r="A166" s="1">
        <v>15.3</v>
      </c>
      <c r="B166" s="2">
        <f t="shared" si="7"/>
        <v>8.5425548914817648E-36</v>
      </c>
      <c r="C166" s="2">
        <f t="shared" si="7"/>
        <v>7.3703497001833746E-13</v>
      </c>
      <c r="D166" s="2">
        <f t="shared" si="7"/>
        <v>1.5233482995450707E-9</v>
      </c>
    </row>
    <row r="167" spans="1:4" x14ac:dyDescent="0.35">
      <c r="A167" s="1">
        <v>15.4</v>
      </c>
      <c r="B167" s="2">
        <f t="shared" si="7"/>
        <v>4.9320463661641565E-36</v>
      </c>
      <c r="C167" s="2">
        <f t="shared" si="7"/>
        <v>5.9787150522184652E-13</v>
      </c>
      <c r="D167" s="2">
        <f t="shared" si="7"/>
        <v>1.2777909605028736E-9</v>
      </c>
    </row>
    <row r="168" spans="1:4" x14ac:dyDescent="0.35">
      <c r="A168" s="1">
        <v>15.5</v>
      </c>
      <c r="B168" s="2">
        <f t="shared" si="7"/>
        <v>2.8475182971605949E-36</v>
      </c>
      <c r="C168" s="2">
        <f t="shared" si="7"/>
        <v>4.8498422910290312E-13</v>
      </c>
      <c r="D168" s="2">
        <f t="shared" si="7"/>
        <v>1.0718164317154664E-9</v>
      </c>
    </row>
    <row r="169" spans="1:4" x14ac:dyDescent="0.35">
      <c r="A169" s="1">
        <v>15.6</v>
      </c>
      <c r="B169" s="2">
        <f t="shared" si="7"/>
        <v>1.6440154553880562E-36</v>
      </c>
      <c r="C169" s="2">
        <f t="shared" si="7"/>
        <v>3.9341179571897603E-13</v>
      </c>
      <c r="D169" s="2">
        <f t="shared" si="7"/>
        <v>8.9904413066518455E-10</v>
      </c>
    </row>
    <row r="170" spans="1:4" x14ac:dyDescent="0.35">
      <c r="A170" s="1">
        <v>15.7</v>
      </c>
      <c r="B170" s="2">
        <f t="shared" si="7"/>
        <v>9.4917276572020054E-37</v>
      </c>
      <c r="C170" s="2">
        <f t="shared" si="7"/>
        <v>3.1912963705462298E-13</v>
      </c>
      <c r="D170" s="2">
        <f t="shared" si="7"/>
        <v>7.5412199789411282E-10</v>
      </c>
    </row>
    <row r="171" spans="1:4" x14ac:dyDescent="0.35">
      <c r="A171" s="1">
        <v>15.8</v>
      </c>
      <c r="B171" s="2">
        <f t="shared" si="7"/>
        <v>5.4800515179601998E-37</v>
      </c>
      <c r="C171" s="2">
        <f t="shared" si="7"/>
        <v>2.5887308503419524E-13</v>
      </c>
      <c r="D171" s="2">
        <f t="shared" si="7"/>
        <v>6.3256070341480521E-10</v>
      </c>
    </row>
    <row r="172" spans="1:4" x14ac:dyDescent="0.35">
      <c r="A172" s="1">
        <v>15.9</v>
      </c>
      <c r="B172" s="2">
        <f t="shared" si="7"/>
        <v>3.1639092190673424E-37</v>
      </c>
      <c r="C172" s="2">
        <f t="shared" si="7"/>
        <v>2.0999389080134517E-13</v>
      </c>
      <c r="D172" s="2">
        <f t="shared" si="7"/>
        <v>5.3059457834961013E-10</v>
      </c>
    </row>
    <row r="173" spans="1:4" x14ac:dyDescent="0.35">
      <c r="A173" s="1">
        <v>16</v>
      </c>
      <c r="B173" s="2">
        <f t="shared" si="7"/>
        <v>1.8266838393200711E-37</v>
      </c>
      <c r="C173" s="2">
        <f t="shared" si="7"/>
        <v>1.703438353510625E-13</v>
      </c>
      <c r="D173" s="2">
        <f t="shared" si="7"/>
        <v>4.4506496380436543E-10</v>
      </c>
    </row>
    <row r="174" spans="1:4" x14ac:dyDescent="0.35">
      <c r="A174" s="1">
        <v>16.100000000000001</v>
      </c>
      <c r="B174" s="2">
        <f t="shared" si="7"/>
        <v>1.0546364063557684E-37</v>
      </c>
      <c r="C174" s="2">
        <f t="shared" si="7"/>
        <v>1.3818031625291357E-13</v>
      </c>
      <c r="D174" s="2">
        <f t="shared" si="7"/>
        <v>3.7332236341271495E-10</v>
      </c>
    </row>
    <row r="175" spans="1:4" x14ac:dyDescent="0.35">
      <c r="A175" s="1">
        <v>16.2</v>
      </c>
      <c r="B175" s="2">
        <f t="shared" si="7"/>
        <v>6.0889461310669178E-38</v>
      </c>
      <c r="C175" s="2">
        <f t="shared" si="7"/>
        <v>1.1208976104362517E-13</v>
      </c>
      <c r="D175" s="2">
        <f t="shared" si="7"/>
        <v>3.1314436847854374E-10</v>
      </c>
    </row>
    <row r="176" spans="1:4" x14ac:dyDescent="0.35">
      <c r="A176" s="1">
        <v>16.3</v>
      </c>
      <c r="B176" s="2">
        <f t="shared" si="7"/>
        <v>3.5154546878526191E-38</v>
      </c>
      <c r="C176" s="2">
        <f t="shared" si="7"/>
        <v>9.0925501341454094E-14</v>
      </c>
      <c r="D176" s="2">
        <f t="shared" si="7"/>
        <v>2.6266681324008418E-10</v>
      </c>
    </row>
    <row r="177" spans="1:4" x14ac:dyDescent="0.35">
      <c r="A177" s="1">
        <v>16.399999999999999</v>
      </c>
      <c r="B177" s="2">
        <f t="shared" si="7"/>
        <v>2.029648710355644E-38</v>
      </c>
      <c r="C177" s="2">
        <f t="shared" si="7"/>
        <v>7.3757377277101294E-14</v>
      </c>
      <c r="D177" s="2">
        <f t="shared" si="7"/>
        <v>2.2032602761581427E-10</v>
      </c>
    </row>
    <row r="178" spans="1:4" x14ac:dyDescent="0.35">
      <c r="A178" s="1">
        <v>16.5</v>
      </c>
      <c r="B178" s="2">
        <f t="shared" si="7"/>
        <v>1.1718182292842092E-38</v>
      </c>
      <c r="C178" s="2">
        <f t="shared" si="7"/>
        <v>5.9830857378142052E-14</v>
      </c>
      <c r="D178" s="2">
        <f t="shared" si="7"/>
        <v>1.8481039856475073E-10</v>
      </c>
    </row>
    <row r="179" spans="1:4" x14ac:dyDescent="0.35">
      <c r="A179" s="1">
        <v>16.600000000000001</v>
      </c>
      <c r="B179" s="2">
        <f t="shared" si="7"/>
        <v>6.7654957011854003E-39</v>
      </c>
      <c r="C179" s="2">
        <f t="shared" si="7"/>
        <v>4.853387724396388E-14</v>
      </c>
      <c r="D179" s="2">
        <f t="shared" si="7"/>
        <v>1.5501973955171037E-10</v>
      </c>
    </row>
    <row r="180" spans="1:4" x14ac:dyDescent="0.35">
      <c r="A180" s="1">
        <v>16.7</v>
      </c>
      <c r="B180" s="2">
        <f t="shared" si="7"/>
        <v>3.9060607642807068E-39</v>
      </c>
      <c r="C180" s="2">
        <f t="shared" si="7"/>
        <v>3.9369939585601078E-14</v>
      </c>
      <c r="D180" s="2">
        <f t="shared" si="7"/>
        <v>1.3003120948383858E-10</v>
      </c>
    </row>
    <row r="181" spans="1:4" x14ac:dyDescent="0.35">
      <c r="A181" s="1">
        <v>16.8</v>
      </c>
      <c r="B181" s="2">
        <f t="shared" si="7"/>
        <v>2.2551652337284718E-39</v>
      </c>
      <c r="C181" s="2">
        <f t="shared" si="7"/>
        <v>3.1936293389101444E-14</v>
      </c>
      <c r="D181" s="2">
        <f t="shared" si="7"/>
        <v>1.0907072537121418E-10</v>
      </c>
    </row>
    <row r="182" spans="1:4" x14ac:dyDescent="0.35">
      <c r="A182" s="1">
        <v>16.899999999999999</v>
      </c>
      <c r="B182" s="2">
        <f t="shared" si="7"/>
        <v>1.3020202547602386E-39</v>
      </c>
      <c r="C182" s="2">
        <f t="shared" si="7"/>
        <v>2.5906233186291008E-14</v>
      </c>
      <c r="D182" s="2">
        <f t="shared" si="7"/>
        <v>9.1488983146321516E-11</v>
      </c>
    </row>
    <row r="183" spans="1:4" x14ac:dyDescent="0.35">
      <c r="A183" s="1">
        <v>17</v>
      </c>
      <c r="B183" s="2">
        <f t="shared" si="7"/>
        <v>7.517217445761591E-40</v>
      </c>
      <c r="C183" s="2">
        <f t="shared" si="7"/>
        <v>2.1014740493695186E-14</v>
      </c>
      <c r="D183" s="2">
        <f t="shared" si="7"/>
        <v>7.6741343826554907E-11</v>
      </c>
    </row>
    <row r="184" spans="1:4" x14ac:dyDescent="0.35">
      <c r="A184" s="1">
        <v>17.100000000000001</v>
      </c>
      <c r="B184" s="2">
        <f t="shared" si="7"/>
        <v>4.3400675158674101E-40</v>
      </c>
      <c r="C184" s="2">
        <f t="shared" si="7"/>
        <v>1.7046836367204735E-14</v>
      </c>
      <c r="D184" s="2">
        <f t="shared" si="7"/>
        <v>6.4370961942736644E-11</v>
      </c>
    </row>
    <row r="185" spans="1:4" x14ac:dyDescent="0.35">
      <c r="A185" s="1">
        <v>17.2</v>
      </c>
      <c r="B185" s="2">
        <f t="shared" si="7"/>
        <v>2.5057391485872026E-40</v>
      </c>
      <c r="C185" s="2">
        <f t="shared" si="7"/>
        <v>1.3828133172400562E-14</v>
      </c>
      <c r="D185" s="2">
        <f t="shared" si="7"/>
        <v>5.3994633593987113E-11</v>
      </c>
    </row>
    <row r="186" spans="1:4" x14ac:dyDescent="0.35">
      <c r="A186" s="1">
        <v>17.3</v>
      </c>
      <c r="B186" s="2">
        <f t="shared" si="7"/>
        <v>1.4466891719558068E-40</v>
      </c>
      <c r="C186" s="2">
        <f t="shared" si="7"/>
        <v>1.1217170325017767E-14</v>
      </c>
      <c r="D186" s="2">
        <f t="shared" si="7"/>
        <v>4.5290925736631597E-11</v>
      </c>
    </row>
    <row r="187" spans="1:4" x14ac:dyDescent="0.35">
      <c r="A187" s="1">
        <v>17.399999999999999</v>
      </c>
      <c r="B187" s="2">
        <f t="shared" si="7"/>
        <v>8.3524638286240283E-41</v>
      </c>
      <c r="C187" s="2">
        <f t="shared" si="7"/>
        <v>9.0991971607268909E-15</v>
      </c>
      <c r="D187" s="2">
        <f t="shared" si="7"/>
        <v>3.7990218981810783E-11</v>
      </c>
    </row>
    <row r="188" spans="1:4" x14ac:dyDescent="0.35">
      <c r="A188" s="1">
        <v>17.5</v>
      </c>
      <c r="B188" s="2">
        <f t="shared" si="7"/>
        <v>4.8222972398527013E-41</v>
      </c>
      <c r="C188" s="2">
        <f t="shared" si="7"/>
        <v>7.3811296941012225E-15</v>
      </c>
      <c r="D188" s="2">
        <f t="shared" si="7"/>
        <v>3.1866355452233953E-11</v>
      </c>
    </row>
    <row r="189" spans="1:4" x14ac:dyDescent="0.35">
      <c r="A189" s="1">
        <v>17.600000000000001</v>
      </c>
      <c r="B189" s="2">
        <f t="shared" si="7"/>
        <v>2.7841546095413098E-41</v>
      </c>
      <c r="C189" s="2">
        <f t="shared" si="7"/>
        <v>5.9874596185571771E-15</v>
      </c>
      <c r="D189" s="2">
        <f t="shared" si="7"/>
        <v>2.6729632969299511E-11</v>
      </c>
    </row>
    <row r="190" spans="1:4" x14ac:dyDescent="0.35">
      <c r="A190" s="1">
        <v>17.7</v>
      </c>
      <c r="B190" s="2">
        <f t="shared" si="7"/>
        <v>1.6074324132842373E-41</v>
      </c>
      <c r="C190" s="2">
        <f t="shared" si="7"/>
        <v>4.8569357496188354E-15</v>
      </c>
      <c r="D190" s="2">
        <f t="shared" si="7"/>
        <v>2.2420928547785569E-11</v>
      </c>
    </row>
    <row r="191" spans="1:4" x14ac:dyDescent="0.35">
      <c r="A191" s="1">
        <v>17.8</v>
      </c>
      <c r="B191" s="2">
        <f t="shared" si="7"/>
        <v>9.280515365137721E-42</v>
      </c>
      <c r="C191" s="2">
        <f t="shared" si="7"/>
        <v>3.9398720624039616E-15</v>
      </c>
      <c r="D191" s="2">
        <f t="shared" si="7"/>
        <v>1.8806769158481602E-11</v>
      </c>
    </row>
    <row r="192" spans="1:4" x14ac:dyDescent="0.35">
      <c r="A192" s="1">
        <v>17.899999999999999</v>
      </c>
      <c r="B192" s="2">
        <f t="shared" si="7"/>
        <v>5.3581080442808039E-42</v>
      </c>
      <c r="C192" s="2">
        <f t="shared" si="7"/>
        <v>3.1959640127686565E-15</v>
      </c>
      <c r="D192" s="2">
        <f t="shared" si="7"/>
        <v>1.5775197063153937E-11</v>
      </c>
    </row>
    <row r="193" spans="1:4" x14ac:dyDescent="0.35">
      <c r="A193" s="1">
        <v>18</v>
      </c>
      <c r="B193" s="2">
        <f t="shared" si="7"/>
        <v>3.0935051217125811E-42</v>
      </c>
      <c r="C193" s="2">
        <f t="shared" si="7"/>
        <v>2.5925171703874931E-15</v>
      </c>
      <c r="D193" s="2">
        <f t="shared" si="7"/>
        <v>1.3232301640124407E-11</v>
      </c>
    </row>
    <row r="194" spans="1:4" x14ac:dyDescent="0.35">
      <c r="A194" s="1">
        <v>18.100000000000001</v>
      </c>
      <c r="B194" s="2">
        <f t="shared" si="7"/>
        <v>1.7860360147602467E-42</v>
      </c>
      <c r="C194" s="2">
        <f t="shared" si="7"/>
        <v>2.1030103129764165E-15</v>
      </c>
      <c r="D194" s="2">
        <f t="shared" si="7"/>
        <v>1.1099310264981296E-11</v>
      </c>
    </row>
    <row r="195" spans="1:4" x14ac:dyDescent="0.35">
      <c r="A195" s="1">
        <v>18.2</v>
      </c>
      <c r="B195" s="2">
        <f t="shared" si="7"/>
        <v>1.0311683739042108E-42</v>
      </c>
      <c r="C195" s="2">
        <f t="shared" si="7"/>
        <v>1.705929830283114E-15</v>
      </c>
      <c r="D195" s="2">
        <f t="shared" si="7"/>
        <v>9.3101481290838412E-12</v>
      </c>
    </row>
    <row r="196" spans="1:4" x14ac:dyDescent="0.35">
      <c r="A196" s="1">
        <v>18.3</v>
      </c>
      <c r="B196" s="2">
        <f t="shared" si="7"/>
        <v>5.9534533825341703E-43</v>
      </c>
      <c r="C196" s="2">
        <f t="shared" si="7"/>
        <v>1.3838242104152673E-15</v>
      </c>
      <c r="D196" s="2">
        <f t="shared" si="7"/>
        <v>7.8093914050616984E-12</v>
      </c>
    </row>
    <row r="197" spans="1:4" x14ac:dyDescent="0.35">
      <c r="A197" s="1">
        <v>18.399999999999999</v>
      </c>
      <c r="B197" s="2">
        <f t="shared" si="7"/>
        <v>3.4372279130140441E-43</v>
      </c>
      <c r="C197" s="2">
        <f t="shared" si="7"/>
        <v>1.1225370535982981E-15</v>
      </c>
      <c r="D197" s="2">
        <f t="shared" si="7"/>
        <v>6.5505503534280008E-12</v>
      </c>
    </row>
    <row r="198" spans="1:4" x14ac:dyDescent="0.35">
      <c r="A198" s="1">
        <v>18.5</v>
      </c>
      <c r="B198" s="2">
        <f t="shared" si="7"/>
        <v>1.9844844608447282E-43</v>
      </c>
      <c r="C198" s="2">
        <f t="shared" si="7"/>
        <v>9.1058490465563046E-16</v>
      </c>
      <c r="D198" s="2">
        <f t="shared" si="7"/>
        <v>5.4946291851852311E-12</v>
      </c>
    </row>
    <row r="199" spans="1:4" x14ac:dyDescent="0.35">
      <c r="A199" s="1">
        <v>18.600000000000001</v>
      </c>
      <c r="B199" s="2">
        <f t="shared" si="7"/>
        <v>1.1457426376713344E-43</v>
      </c>
      <c r="C199" s="2">
        <f t="shared" si="7"/>
        <v>7.3865256022401344E-16</v>
      </c>
      <c r="D199" s="2">
        <f t="shared" si="7"/>
        <v>4.6089180685230213E-12</v>
      </c>
    </row>
    <row r="200" spans="1:4" x14ac:dyDescent="0.35">
      <c r="A200" s="1">
        <v>18.7</v>
      </c>
      <c r="B200" s="2">
        <f t="shared" si="7"/>
        <v>6.614948202815776E-44</v>
      </c>
      <c r="C200" s="2">
        <f t="shared" si="7"/>
        <v>5.9918366967859434E-16</v>
      </c>
      <c r="D200" s="2">
        <f t="shared" si="7"/>
        <v>3.8659798589554583E-12</v>
      </c>
    </row>
    <row r="201" spans="1:4" x14ac:dyDescent="0.35">
      <c r="A201" s="1">
        <v>18.8</v>
      </c>
      <c r="B201" s="2">
        <f t="shared" si="7"/>
        <v>3.8191421255711238E-44</v>
      </c>
      <c r="C201" s="2">
        <f t="shared" si="7"/>
        <v>4.860486368592874E-16</v>
      </c>
      <c r="D201" s="2">
        <f t="shared" si="7"/>
        <v>3.2428001642990855E-12</v>
      </c>
    </row>
    <row r="202" spans="1:4" x14ac:dyDescent="0.35">
      <c r="A202" s="1">
        <v>18.899999999999999</v>
      </c>
      <c r="B202" s="2">
        <f t="shared" si="7"/>
        <v>2.2049827342719305E-44</v>
      </c>
      <c r="C202" s="2">
        <f t="shared" si="7"/>
        <v>3.9427522702595572E-16</v>
      </c>
      <c r="D202" s="2">
        <f t="shared" si="7"/>
        <v>2.7200744156019542E-12</v>
      </c>
    </row>
    <row r="203" spans="1:4" x14ac:dyDescent="0.35">
      <c r="A203" s="1">
        <v>19</v>
      </c>
      <c r="B203" s="2">
        <f t="shared" si="7"/>
        <v>1.2730473751903776E-44</v>
      </c>
      <c r="C203" s="2">
        <f t="shared" si="7"/>
        <v>3.198300393369316E-16</v>
      </c>
      <c r="D203" s="2">
        <f t="shared" si="7"/>
        <v>2.28160985924054E-12</v>
      </c>
    </row>
    <row r="204" spans="1:4" x14ac:dyDescent="0.35">
      <c r="A204" s="1">
        <v>19.100000000000001</v>
      </c>
      <c r="B204" s="2">
        <f t="shared" si="7"/>
        <v>7.3499424475730144E-45</v>
      </c>
      <c r="C204" s="2">
        <f t="shared" si="7"/>
        <v>2.5944124066290674E-16</v>
      </c>
      <c r="D204" s="2">
        <f t="shared" si="7"/>
        <v>1.9138239453758599E-12</v>
      </c>
    </row>
    <row r="205" spans="1:4" x14ac:dyDescent="0.35">
      <c r="A205" s="1">
        <v>19.2</v>
      </c>
      <c r="B205" s="2">
        <f t="shared" si="7"/>
        <v>4.243491250634602E-45</v>
      </c>
      <c r="C205" s="2">
        <f t="shared" si="7"/>
        <v>2.1045476996549382E-16</v>
      </c>
      <c r="D205" s="2">
        <f t="shared" si="7"/>
        <v>1.6053235740807195E-12</v>
      </c>
    </row>
    <row r="206" spans="1:4" x14ac:dyDescent="0.35">
      <c r="A206" s="1">
        <v>19.3</v>
      </c>
      <c r="B206" s="2">
        <f t="shared" ref="B206:D213" si="8">EXP(B$7+B$8*$A206)/(1+EXP(B$7+B$8*$A206))</f>
        <v>2.4499808158576771E-45</v>
      </c>
      <c r="C206" s="2">
        <f t="shared" si="8"/>
        <v>1.7071769348642758E-16</v>
      </c>
      <c r="D206" s="2">
        <f t="shared" si="8"/>
        <v>1.3465521652217776E-12</v>
      </c>
    </row>
    <row r="207" spans="1:4" x14ac:dyDescent="0.35">
      <c r="A207" s="1">
        <v>19.399999999999999</v>
      </c>
      <c r="B207" s="2">
        <f t="shared" si="8"/>
        <v>1.4144970835448706E-45</v>
      </c>
      <c r="C207" s="2">
        <f t="shared" si="8"/>
        <v>1.384835842594805E-16</v>
      </c>
      <c r="D207" s="2">
        <f t="shared" si="8"/>
        <v>1.129493619192444E-12</v>
      </c>
    </row>
    <row r="208" spans="1:4" x14ac:dyDescent="0.35">
      <c r="A208" s="1">
        <v>19.5</v>
      </c>
      <c r="B208" s="2">
        <f t="shared" si="8"/>
        <v>8.16660271952561E-46</v>
      </c>
      <c r="C208" s="2">
        <f t="shared" si="8"/>
        <v>1.1233576741638184E-16</v>
      </c>
      <c r="D208" s="2">
        <f t="shared" si="8"/>
        <v>9.4742399793051033E-13</v>
      </c>
    </row>
    <row r="209" spans="1:4" x14ac:dyDescent="0.35">
      <c r="A209" s="1">
        <v>19.600000000000001</v>
      </c>
      <c r="B209" s="2">
        <f t="shared" si="8"/>
        <v>4.7149902784828459E-46</v>
      </c>
      <c r="C209" s="2">
        <f t="shared" si="8"/>
        <v>9.1125057951867172E-17</v>
      </c>
      <c r="D209" s="2">
        <f t="shared" si="8"/>
        <v>7.9470323391146946E-13</v>
      </c>
    </row>
    <row r="210" spans="1:4" x14ac:dyDescent="0.35">
      <c r="A210" s="1">
        <v>19.7</v>
      </c>
      <c r="B210" s="2">
        <f t="shared" si="8"/>
        <v>2.7222009065085431E-46</v>
      </c>
      <c r="C210" s="2">
        <f t="shared" si="8"/>
        <v>7.3919254550089748E-17</v>
      </c>
      <c r="D210" s="2">
        <f t="shared" si="8"/>
        <v>6.6660041477612917E-13</v>
      </c>
    </row>
    <row r="211" spans="1:4" x14ac:dyDescent="0.35">
      <c r="A211" s="1">
        <v>19.8</v>
      </c>
      <c r="B211" s="2">
        <f t="shared" si="8"/>
        <v>1.5716634261609525E-46</v>
      </c>
      <c r="C211" s="2">
        <f t="shared" si="8"/>
        <v>5.9962169748381113E-17</v>
      </c>
      <c r="D211" s="2">
        <f t="shared" si="8"/>
        <v>5.5914723134145042E-13</v>
      </c>
    </row>
    <row r="212" spans="1:4" x14ac:dyDescent="0.35">
      <c r="A212" s="1">
        <v>19.899999999999999</v>
      </c>
      <c r="B212" s="2">
        <f t="shared" si="8"/>
        <v>9.0740030216952936E-47</v>
      </c>
      <c r="C212" s="2">
        <f t="shared" si="8"/>
        <v>4.8640395832148325E-17</v>
      </c>
      <c r="D212" s="2">
        <f t="shared" si="8"/>
        <v>4.6901504917575695E-13</v>
      </c>
    </row>
    <row r="213" spans="1:4" x14ac:dyDescent="0.35">
      <c r="A213" s="1">
        <v>20</v>
      </c>
      <c r="B213" s="2">
        <f t="shared" si="8"/>
        <v>5.2388780872031867E-47</v>
      </c>
      <c r="C213" s="2">
        <f t="shared" si="8"/>
        <v>3.9456345836650293E-17</v>
      </c>
      <c r="D213" s="2">
        <f t="shared" si="8"/>
        <v>3.9341179571897467E-13</v>
      </c>
    </row>
  </sheetData>
  <pageMargins left="0.75" right="0.75" top="1" bottom="1" header="0.5" footer="0.5"/>
  <pageSetup orientation="portrait" horizontalDpi="1200" verticalDpi="12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Sheppard</dc:creator>
  <cp:lastModifiedBy>Casey Lott</cp:lastModifiedBy>
  <dcterms:created xsi:type="dcterms:W3CDTF">2015-09-25T17:17:40Z</dcterms:created>
  <dcterms:modified xsi:type="dcterms:W3CDTF">2026-09-08T17:36:17Z</dcterms:modified>
</cp:coreProperties>
</file>